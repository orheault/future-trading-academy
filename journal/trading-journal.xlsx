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shboard" sheetId="1" state="visible" r:id="rId3"/>
    <sheet name="Trades" sheetId="2" state="visible" r:id="rId4"/>
    <sheet name="Backtest" sheetId="3" state="visible" r:id="rId5"/>
    <sheet name="Observations" sheetId="4" state="visible" r:id="rId6"/>
    <sheet name="Study Log" sheetId="5" state="visible" r:id="rId7"/>
    <sheet name="Lists" sheetId="6" state="visible" r:id="rId8"/>
    <sheet name="README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<sst xmlns="http://schemas.openxmlformats.org/spreadsheetml/2006/main" count="789" uniqueCount="323">
  <si>
    <t xml:space="preserve">Futures Trading Academy — Journal Dashboard</t>
  </si>
  <si>
    <t xml:space="preserve">Version 1.0 • Formula-driven tracker • Blank metrics are expected until observations and trades are entered</t>
  </si>
  <si>
    <t xml:space="preserve">Risk Inputs</t>
  </si>
  <si>
    <t xml:space="preserve">Trade Metrics</t>
  </si>
  <si>
    <t xml:space="preserve">Evidence Counts</t>
  </si>
  <si>
    <t xml:space="preserve">Reference account (USD)</t>
  </si>
  <si>
    <t xml:space="preserve">Total trades</t>
  </si>
  <si>
    <t xml:space="preserve">Included backtest cases</t>
  </si>
  <si>
    <t xml:space="preserve">Maximum risk %</t>
  </si>
  <si>
    <t xml:space="preserve">Net P&amp;L</t>
  </si>
  <si>
    <t xml:space="preserve">Out-of-sample cases</t>
  </si>
  <si>
    <t xml:space="preserve">Maximum risk $</t>
  </si>
  <si>
    <t xml:space="preserve">Net R</t>
  </si>
  <si>
    <t xml:space="preserve">Replay-sim trades</t>
  </si>
  <si>
    <t xml:space="preserve">Daily stop (R)</t>
  </si>
  <si>
    <t xml:space="preserve">Win rate</t>
  </si>
  <si>
    <t xml:space="preserve">Forward server-sim trades</t>
  </si>
  <si>
    <t xml:space="preserve">Weekly stop (R)</t>
  </si>
  <si>
    <t xml:space="preserve">Average R</t>
  </si>
  <si>
    <t xml:space="preserve">Recorded observations</t>
  </si>
  <si>
    <t xml:space="preserve">Strategy drawdown stop (R)</t>
  </si>
  <si>
    <t xml:space="preserve">Profit factor</t>
  </si>
  <si>
    <t xml:space="preserve">Study hours</t>
  </si>
  <si>
    <t xml:space="preserve">Current curriculum week</t>
  </si>
  <si>
    <t xml:space="preserve">Maximum drawdown (R)</t>
  </si>
  <si>
    <t xml:space="preserve">Curriculum status</t>
  </si>
  <si>
    <t xml:space="preserve">Week 1 — Ready</t>
  </si>
  <si>
    <t xml:space="preserve">Plan compliance</t>
  </si>
  <si>
    <t xml:space="preserve">Hard-rule breaches</t>
  </si>
  <si>
    <t xml:space="preserve">Gate Targets</t>
  </si>
  <si>
    <t xml:space="preserve">Gate</t>
  </si>
  <si>
    <t xml:space="preserve">Status</t>
  </si>
  <si>
    <t xml:space="preserve">Primary evidence</t>
  </si>
  <si>
    <t xml:space="preserve">Current</t>
  </si>
  <si>
    <t xml:space="preserve">Target</t>
  </si>
  <si>
    <t xml:space="preserve">Hard-risk condition</t>
  </si>
  <si>
    <t xml:space="preserve">Decision</t>
  </si>
  <si>
    <t xml:space="preserve">Notes</t>
  </si>
  <si>
    <t xml:space="preserve">Foundation</t>
  </si>
  <si>
    <t xml:space="preserve">Not attempted</t>
  </si>
  <si>
    <t xml:space="preserve">Concept + platform safety</t>
  </si>
  <si>
    <t xml:space="preserve">85% exam</t>
  </si>
  <si>
    <t xml:space="preserve">Zero live orders</t>
  </si>
  <si>
    <t xml:space="preserve">Repeat until passed</t>
  </si>
  <si>
    <t xml:space="preserve">Week 4</t>
  </si>
  <si>
    <t xml:space="preserve">Profile</t>
  </si>
  <si>
    <t xml:space="preserve">Reviewed sessions</t>
  </si>
  <si>
    <t xml:space="preserve">No hindsight edits</t>
  </si>
  <si>
    <t xml:space="preserve">Week 8</t>
  </si>
  <si>
    <t xml:space="preserve">Order Flow</t>
  </si>
  <si>
    <t xml:space="preserve">Blinded sequences</t>
  </si>
  <si>
    <t xml:space="preserve">Definitions locked</t>
  </si>
  <si>
    <t xml:space="preserve">Week 12</t>
  </si>
  <si>
    <t xml:space="preserve">Edge Evidence</t>
  </si>
  <si>
    <t xml:space="preserve">Historical/OOS cases</t>
  </si>
  <si>
    <t xml:space="preserve">100 + 30 OOS</t>
  </si>
  <si>
    <t xml:space="preserve">No OOS rule changes</t>
  </si>
  <si>
    <t xml:space="preserve">Reject/revise/advance</t>
  </si>
  <si>
    <t xml:space="preserve">Week 16</t>
  </si>
  <si>
    <t xml:space="preserve">Simulation</t>
  </si>
  <si>
    <t xml:space="preserve">Forward trades/sessions</t>
  </si>
  <si>
    <t xml:space="preserve">60 / 30</t>
  </si>
  <si>
    <t xml:space="preserve">100% hard-risk</t>
  </si>
  <si>
    <t xml:space="preserve">Week 20+</t>
  </si>
  <si>
    <t xml:space="preserve">Final</t>
  </si>
  <si>
    <t xml:space="preserve">Complete portfolio</t>
  </si>
  <si>
    <t xml:space="preserve">All prior gates</t>
  </si>
  <si>
    <t xml:space="preserve">Separate live decision</t>
  </si>
  <si>
    <t xml:space="preserve">Three-option decision</t>
  </si>
  <si>
    <t xml:space="preserve">Week 24+</t>
  </si>
  <si>
    <t xml:space="preserve">Safety: Futures are leveraged and high risk. This workbook is a training and record-keeping tool, not a profitability forecast or live-trading authorization. Stop if the account mode, contract, data, or order state is uncertain.</t>
  </si>
  <si>
    <t xml:space="preserve">Trade Journal</t>
  </si>
  <si>
    <t xml:space="preserve">Blue text = user input • Gray columns = formulas • Use only one row per completed trade • Rows 6–205 are ready</t>
  </si>
  <si>
    <t xml:space="preserve">Enter planned risk, execution, process, and evidence. Do not overwrite formula columns S:T, W:Z, or AJ:AL.</t>
  </si>
  <si>
    <t xml:space="preserve">Trade ID</t>
  </si>
  <si>
    <t xml:space="preserve">Date</t>
  </si>
  <si>
    <t xml:space="preserve">Account Mode</t>
  </si>
  <si>
    <t xml:space="preserve">Week</t>
  </si>
  <si>
    <t xml:space="preserve">Instrument</t>
  </si>
  <si>
    <t xml:space="preserve">Contract</t>
  </si>
  <si>
    <t xml:space="preserve">Session</t>
  </si>
  <si>
    <t xml:space="preserve">Direction</t>
  </si>
  <si>
    <t xml:space="preserve">Setup Version</t>
  </si>
  <si>
    <t xml:space="preserve">Regime</t>
  </si>
  <si>
    <t xml:space="preserve">Location</t>
  </si>
  <si>
    <t xml:space="preserve">Entry Time</t>
  </si>
  <si>
    <t xml:space="preserve">Entry Price</t>
  </si>
  <si>
    <t xml:space="preserve">Stop Price</t>
  </si>
  <si>
    <t xml:space="preserve">Target Price</t>
  </si>
  <si>
    <t xml:space="preserve">Exit Time</t>
  </si>
  <si>
    <t xml:space="preserve">Exit Price</t>
  </si>
  <si>
    <t xml:space="preserve">Contracts</t>
  </si>
  <si>
    <t xml:space="preserve">Tick Size</t>
  </si>
  <si>
    <t xml:space="preserve">Tick Value</t>
  </si>
  <si>
    <t xml:space="preserve">Fees</t>
  </si>
  <si>
    <t xml:space="preserve">Slippage</t>
  </si>
  <si>
    <t xml:space="preserve">Gross P&amp;L</t>
  </si>
  <si>
    <t xml:space="preserve">Initial Risk $</t>
  </si>
  <si>
    <t xml:space="preserve">R Multiple</t>
  </si>
  <si>
    <t xml:space="preserve">MAE $</t>
  </si>
  <si>
    <t xml:space="preserve">MFE $</t>
  </si>
  <si>
    <t xml:space="preserve">Plan Followed</t>
  </si>
  <si>
    <t xml:space="preserve">Process Grade</t>
  </si>
  <si>
    <t xml:space="preserve">Hard Breach</t>
  </si>
  <si>
    <t xml:space="preserve">Emotion/State</t>
  </si>
  <si>
    <t xml:space="preserve">Screenshot Before</t>
  </si>
  <si>
    <t xml:space="preserve">Screenshot After</t>
  </si>
  <si>
    <t xml:space="preserve">Cumulative R</t>
  </si>
  <si>
    <t xml:space="preserve">Peak R</t>
  </si>
  <si>
    <t xml:space="preserve">Drawdown R</t>
  </si>
  <si>
    <t xml:space="preserve">Backtest &amp; Out-of-Sample Log</t>
  </si>
  <si>
    <t xml:space="preserve">Use consecutive eligible sessions. Freeze setup rules before out-of-sample testing. Include costs and every valid occurrence.</t>
  </si>
  <si>
    <t xml:space="preserve">Do not exclude a losing case retroactively. Mark Included = No only when a predeclared exclusion rule applies, and state it.</t>
  </si>
  <si>
    <t xml:space="preserve">Case ID</t>
  </si>
  <si>
    <t xml:space="preserve">Sample</t>
  </si>
  <si>
    <t xml:space="preserve">Entry</t>
  </si>
  <si>
    <t xml:space="preserve">Stop</t>
  </si>
  <si>
    <t xml:space="preserve">Exit</t>
  </si>
  <si>
    <t xml:space="preserve">Included</t>
  </si>
  <si>
    <t xml:space="preserve">Exclusion Reason</t>
  </si>
  <si>
    <t xml:space="preserve">Screenshot</t>
  </si>
  <si>
    <t xml:space="preserve">Market Observation Log</t>
  </si>
  <si>
    <t xml:space="preserve">Record the hypothesis before revealing the outcome. Separate directly observed facts from interpretation.</t>
  </si>
  <si>
    <t xml:space="preserve">Hindsight contamination must be marked Yes if the original hypothesis was edited after seeing later price action.</t>
  </si>
  <si>
    <t xml:space="preserve">Observation ID</t>
  </si>
  <si>
    <t xml:space="preserve">Observation Type</t>
  </si>
  <si>
    <t xml:space="preserve">Hypothesis Time</t>
  </si>
  <si>
    <t xml:space="preserve">Predeclared Hypothesis</t>
  </si>
  <si>
    <t xml:space="preserve">Confidence %</t>
  </si>
  <si>
    <t xml:space="preserve">Outcome</t>
  </si>
  <si>
    <t xml:space="preserve">Assigned Label</t>
  </si>
  <si>
    <t xml:space="preserve">Hindsight Contamination</t>
  </si>
  <si>
    <t xml:space="preserve">Screenshot / Notes</t>
  </si>
  <si>
    <t xml:space="preserve">Study Log</t>
  </si>
  <si>
    <t xml:space="preserve">Record actual effort and evidence, not only completed readings. Time is an input; mastery is determined by the gates.</t>
  </si>
  <si>
    <t xml:space="preserve">Use one row per study or practice block. Enter actual duration in minutes. Rows with Study ID EXAMPLE-001 are excluded from dashboard study hours.</t>
  </si>
  <si>
    <t xml:space="preserve">Use one row per study or practice block. Row 6 is an example and is excluded from dashboard study hours; overwrite or delete it when ready.</t>
  </si>
  <si>
    <t xml:space="preserve">Study ID</t>
  </si>
  <si>
    <t xml:space="preserve">Topic</t>
  </si>
  <si>
    <t xml:space="preserve">Completed</t>
  </si>
  <si>
    <t xml:space="preserve">Key Learning</t>
  </si>
  <si>
    <t xml:space="preserve">Open Question</t>
  </si>
  <si>
    <t xml:space="preserve">Evidence Link</t>
  </si>
  <si>
    <t xml:space="preserve">Duration (min)</t>
  </si>
  <si>
    <t xml:space="preserve">W01-1</t>
  </si>
  <si>
    <t xml:space="preserve">CFTC — Futures Market Basics
NFA</t>
  </si>
  <si>
    <t xml:space="preserve">Yes</t>
  </si>
  <si>
    <t xml:space="preserve">See week 1 note</t>
  </si>
  <si>
    <t xml:space="preserve">W01-2</t>
  </si>
  <si>
    <t xml:space="preserve">CME – intro to future</t>
  </si>
  <si>
    <t xml:space="preserve">yes</t>
  </si>
  <si>
    <t xml:space="preserve">W01-3</t>
  </si>
  <si>
    <t xml:space="preserve">Part C</t>
  </si>
  <si>
    <t xml:space="preserve">W01-4</t>
  </si>
  <si>
    <t xml:space="preserve">Part D</t>
  </si>
  <si>
    <t xml:space="preserve">W01-5</t>
  </si>
  <si>
    <t xml:space="preserve">Install Windows 11; Review notions</t>
  </si>
  <si>
    <t xml:space="preserve">W01-6</t>
  </si>
  <si>
    <t xml:space="preserve">Part E</t>
  </si>
  <si>
    <t xml:space="preserve">Picture</t>
  </si>
  <si>
    <t xml:space="preserve">W01-7</t>
  </si>
  <si>
    <t xml:space="preserve">Book 01</t>
  </si>
  <si>
    <t xml:space="preserve">W01-8</t>
  </si>
  <si>
    <t xml:space="preserve">Quiz F</t>
  </si>
  <si>
    <t xml:space="preserve">W02-1</t>
  </si>
  <si>
    <t xml:space="preserve">Answer initial questions from GPT about risk</t>
  </si>
  <si>
    <t xml:space="preserve">Partial</t>
  </si>
  <si>
    <t xml:space="preserve">W02-2</t>
  </si>
  <si>
    <t xml:space="preserve">Answer question about risk</t>
  </si>
  <si>
    <t xml:space="preserve">W02-3</t>
  </si>
  <si>
    <t xml:space="preserve">Part A</t>
  </si>
  <si>
    <t xml:space="preserve">Notional value, calculate tick value and total $</t>
  </si>
  <si>
    <t xml:space="preserve">See week 2 assignment.</t>
  </si>
  <si>
    <t xml:space="preserve">W02-4</t>
  </si>
  <si>
    <t xml:space="preserve">Part B</t>
  </si>
  <si>
    <t xml:space="preserve">P&amp;L from fills</t>
  </si>
  <si>
    <t xml:space="preserve">W02-5</t>
  </si>
  <si>
    <t xml:space="preserve">Planned risk and costs</t>
  </si>
  <si>
    <t xml:space="preserve">W02-6</t>
  </si>
  <si>
    <t xml:space="preserve">Spread and cost</t>
  </si>
  <si>
    <t xml:space="preserve">W02-7</t>
  </si>
  <si>
    <t xml:space="preserve">Lab</t>
  </si>
  <si>
    <t xml:space="preserve">W02-8</t>
  </si>
  <si>
    <t xml:space="preserve">Quiz</t>
  </si>
  <si>
    <t xml:space="preserve">W02-9</t>
  </si>
  <si>
    <t xml:space="preserve">Part 7</t>
  </si>
  <si>
    <t xml:space="preserve">W03-1</t>
  </si>
  <si>
    <t xml:space="preserve">Part A and B</t>
  </si>
  <si>
    <t xml:space="preserve">Concensus, actual for MES MGC MCL</t>
  </si>
  <si>
    <t xml:space="preserve">See week 3 assignment</t>
  </si>
  <si>
    <t xml:space="preserve">W03-2</t>
  </si>
  <si>
    <t xml:space="preserve">Fiche MES CASE 1</t>
  </si>
  <si>
    <t xml:space="preserve">Hypothese, observation, drawing on sierra chart.</t>
  </si>
  <si>
    <t xml:space="preserve">See research week 3 01-mes.md</t>
  </si>
  <si>
    <t xml:space="preserve">W03-3</t>
  </si>
  <si>
    <t xml:space="preserve">Fiche MES CASE 2</t>
  </si>
  <si>
    <t xml:space="preserve">Donnée de l’emploi au États-Unis</t>
  </si>
  <si>
    <t xml:space="preserve">See research week 3 02-mes.md</t>
  </si>
  <si>
    <t xml:space="preserve">W03-4</t>
  </si>
  <si>
    <t xml:space="preserve">Fiche MES CASE 3</t>
  </si>
  <si>
    <t xml:space="preserve">Donnée des PPI au États-Unis</t>
  </si>
  <si>
    <t xml:space="preserve">See research week 3 03-mes.md</t>
  </si>
  <si>
    <t xml:space="preserve">W03-5</t>
  </si>
  <si>
    <t xml:space="preserve">Fiche MGC CASE 4</t>
  </si>
  <si>
    <t xml:space="preserve">Donnée de Taux de la fed.</t>
  </si>
  <si>
    <t xml:space="preserve">See research week 3 04-mgc.md</t>
  </si>
  <si>
    <t xml:space="preserve">W03-6</t>
  </si>
  <si>
    <t xml:space="preserve">Fiche MCL CASE 5</t>
  </si>
  <si>
    <t xml:space="preserve">YES</t>
  </si>
  <si>
    <t xml:space="preserve">Donnée de variation des stocks de baril de pétrol</t>
  </si>
  <si>
    <t xml:space="preserve">See research week 3 05-mcl.md</t>
  </si>
  <si>
    <t xml:space="preserve">W03-7</t>
  </si>
  <si>
    <t xml:space="preserve">Quiz recap</t>
  </si>
  <si>
    <t xml:space="preserve">Reference Lists</t>
  </si>
  <si>
    <t xml:space="preserve">Editable lists support dropdowns. Contract values were verified from CME sources on 2026-08-23; recheck before use.</t>
  </si>
  <si>
    <t xml:space="preserve">Point/Unit Value</t>
  </si>
  <si>
    <t xml:space="preserve">Contract summary</t>
  </si>
  <si>
    <t xml:space="preserve">Official source</t>
  </si>
  <si>
    <t xml:space="preserve">MES</t>
  </si>
  <si>
    <t xml:space="preserve">$5 × S&amp;P 500 Index</t>
  </si>
  <si>
    <t xml:space="preserve">https://www.cmegroup.com/markets/equities/sp/micro-e-mini-sandp-500.contractSpecs.html</t>
  </si>
  <si>
    <t xml:space="preserve">MNQ</t>
  </si>
  <si>
    <t xml:space="preserve">$2 × Nasdaq-100 Index</t>
  </si>
  <si>
    <t xml:space="preserve">https://www.cmegroup.com/markets/equities/nasdaq/micro-e-mini-nasdaq-100.contractSpecs.html</t>
  </si>
  <si>
    <t xml:space="preserve">MGC</t>
  </si>
  <si>
    <t xml:space="preserve">10 troy ounces</t>
  </si>
  <si>
    <t xml:space="preserve">https://www.cmegroup.com/markets/metals/precious/e-micro-gold.contractSpecs.html</t>
  </si>
  <si>
    <t xml:space="preserve">MCL</t>
  </si>
  <si>
    <t xml:space="preserve">100 barrels</t>
  </si>
  <si>
    <t xml:space="preserve">https://www.cmegroup.com/markets/energy/crude-oil/micro-wti-crude-oil.contractSpecs.html</t>
  </si>
  <si>
    <t xml:space="preserve">Account Modes</t>
  </si>
  <si>
    <t xml:space="preserve">Yes/No</t>
  </si>
  <si>
    <t xml:space="preserve">Observation</t>
  </si>
  <si>
    <t xml:space="preserve">Long</t>
  </si>
  <si>
    <t xml:space="preserve">Balance</t>
  </si>
  <si>
    <t xml:space="preserve">A</t>
  </si>
  <si>
    <t xml:space="preserve">In-sample</t>
  </si>
  <si>
    <t xml:space="preserve">Replay Sim</t>
  </si>
  <si>
    <t xml:space="preserve">Short</t>
  </si>
  <si>
    <t xml:space="preserve">Transition</t>
  </si>
  <si>
    <t xml:space="preserve">No</t>
  </si>
  <si>
    <t xml:space="preserve">B</t>
  </si>
  <si>
    <t xml:space="preserve">Out-of-sample</t>
  </si>
  <si>
    <t xml:space="preserve">Server Sim</t>
  </si>
  <si>
    <t xml:space="preserve">Imbalance</t>
  </si>
  <si>
    <t xml:space="preserve">C</t>
  </si>
  <si>
    <t xml:space="preserve">Paper Broker Sim</t>
  </si>
  <si>
    <t xml:space="preserve">Trend</t>
  </si>
  <si>
    <t xml:space="preserve">D</t>
  </si>
  <si>
    <t xml:space="preserve">Live</t>
  </si>
  <si>
    <t xml:space="preserve">Unknown</t>
  </si>
  <si>
    <t xml:space="preserve">F</t>
  </si>
  <si>
    <t xml:space="preserve">How to Use This Workbook</t>
  </si>
  <si>
    <t xml:space="preserve">The workbook supports the Academy curriculum; the Markdown files remain the learning and policy source of truth.</t>
  </si>
  <si>
    <t xml:space="preserve">Workflow</t>
  </si>
  <si>
    <t xml:space="preserve">Step</t>
  </si>
  <si>
    <t xml:space="preserve">Action</t>
  </si>
  <si>
    <t xml:space="preserve">Where</t>
  </si>
  <si>
    <t xml:space="preserve">Input rule</t>
  </si>
  <si>
    <t xml:space="preserve">Formula rule</t>
  </si>
  <si>
    <t xml:space="preserve">Evidence</t>
  </si>
  <si>
    <t xml:space="preserve">Frequency</t>
  </si>
  <si>
    <t xml:space="preserve">Safety</t>
  </si>
  <si>
    <t xml:space="preserve">Plan the session</t>
  </si>
  <si>
    <t xml:space="preserve">Markdown session plan</t>
  </si>
  <si>
    <t xml:space="preserve">Write before the market unfolds</t>
  </si>
  <si>
    <t xml:space="preserve">None</t>
  </si>
  <si>
    <t xml:space="preserve">Saved plan</t>
  </si>
  <si>
    <t xml:space="preserve">Every observed/traded session</t>
  </si>
  <si>
    <t xml:space="preserve">No account action if mode is uncertain</t>
  </si>
  <si>
    <t xml:space="preserve">Record study</t>
  </si>
  <si>
    <t xml:space="preserve">One row per work block</t>
  </si>
  <si>
    <t xml:space="preserve">Dashboard sums hours</t>
  </si>
  <si>
    <t xml:space="preserve">Evidence link</t>
  </si>
  <si>
    <t xml:space="preserve">Every work block</t>
  </si>
  <si>
    <t xml:space="preserve">Do not equate hours with competence</t>
  </si>
  <si>
    <t xml:space="preserve">Record observations</t>
  </si>
  <si>
    <t xml:space="preserve">Observations</t>
  </si>
  <si>
    <t xml:space="preserve">Dashboard counts dated rows</t>
  </si>
  <si>
    <t xml:space="preserve">Screenshot/notes</t>
  </si>
  <si>
    <t xml:space="preserve">As assigned</t>
  </si>
  <si>
    <t xml:space="preserve">Mark contamination honestly</t>
  </si>
  <si>
    <t xml:space="preserve">Record historical cases</t>
  </si>
  <si>
    <t xml:space="preserve">Backtest</t>
  </si>
  <si>
    <t xml:space="preserve">Consecutive eligible cases</t>
  </si>
  <si>
    <t xml:space="preserve">P&amp;L, risk, R, equity, drawdown</t>
  </si>
  <si>
    <t xml:space="preserve">Before/after image</t>
  </si>
  <si>
    <t xml:space="preserve">Weeks 14–16+</t>
  </si>
  <si>
    <t xml:space="preserve">Freeze OOS rules</t>
  </si>
  <si>
    <t xml:space="preserve">Record completed trades</t>
  </si>
  <si>
    <t xml:space="preserve">Trades</t>
  </si>
  <si>
    <t xml:space="preserve">One completed trade per row</t>
  </si>
  <si>
    <t xml:space="preserve">Replay and simulation</t>
  </si>
  <si>
    <t xml:space="preserve">Never overwrite formulas</t>
  </si>
  <si>
    <t xml:space="preserve">Color and formula conventions</t>
  </si>
  <si>
    <t xml:space="preserve">Color</t>
  </si>
  <si>
    <t xml:space="preserve">Meaning</t>
  </si>
  <si>
    <t xml:space="preserve">Example</t>
  </si>
  <si>
    <t xml:space="preserve">Blue text</t>
  </si>
  <si>
    <t xml:space="preserve">Editable user input</t>
  </si>
  <si>
    <t xml:space="preserve">Trade entry price</t>
  </si>
  <si>
    <t xml:space="preserve">Enter or update</t>
  </si>
  <si>
    <t xml:space="preserve">Gray fill / black text</t>
  </si>
  <si>
    <t xml:space="preserve">Formula-derived</t>
  </si>
  <si>
    <t xml:space="preserve">Do not overwrite</t>
  </si>
  <si>
    <t xml:space="preserve">Amber</t>
  </si>
  <si>
    <t xml:space="preserve">Attention or provisional input</t>
  </si>
  <si>
    <t xml:space="preserve">Risk assumption</t>
  </si>
  <si>
    <t xml:space="preserve">Review deliberately</t>
  </si>
  <si>
    <t xml:space="preserve">Red</t>
  </si>
  <si>
    <t xml:space="preserve">Safety/process exception</t>
  </si>
  <si>
    <t xml:space="preserve">Hard breach</t>
  </si>
  <si>
    <t xml:space="preserve">Stop and review</t>
  </si>
  <si>
    <t xml:space="preserve">Formula definitions</t>
  </si>
  <si>
    <t xml:space="preserve">Metric</t>
  </si>
  <si>
    <t xml:space="preserve">Definition</t>
  </si>
  <si>
    <t xml:space="preserve">Direction-adjusted tick movement × tick value × contracts</t>
  </si>
  <si>
    <t xml:space="preserve">Gross P&amp;L − fees − slippage</t>
  </si>
  <si>
    <t xml:space="preserve">Initial Risk</t>
  </si>
  <si>
    <t xml:space="preserve">Absolute entry-to-stop tick distance × tick value × contracts + fees + slippage</t>
  </si>
  <si>
    <t xml:space="preserve">Net P&amp;L ÷ Initial Risk</t>
  </si>
  <si>
    <t xml:space="preserve">Cumulative R − prior peak cumulative R</t>
  </si>
  <si>
    <t xml:space="preserve">Warning: Futures trading is leveraged and can produce losses greater than the initial deposit. Simulation results can differ materially from live fills and behavior. This workbook does not authorize live trading.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</si>
</sst>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 * #,##0.00_)\ _$_ ;_ * \(#,##0.00&quot;) &quot;_$_ ;_ * \-??_)\ _$_ ;_ @_ "/>
    <numFmt numFmtId="166" formatCode="_ * #,##0_)\ _$_ ;_ * \(#,##0&quot;) &quot;_$_ ;_ * \-_)\ _$_ ;_ @_ "/>
    <numFmt numFmtId="167" formatCode="_ * #,##0.00_)&quot; $&quot;_ ;_ * \(#,##0.00&quot;) $&quot;_ ;_ * \-??_)&quot; $&quot;_ ;_ @_ "/>
    <numFmt numFmtId="168" formatCode="_ * #,##0_)&quot; $&quot;_ ;_ * \(#,##0&quot;) $&quot;_ ;_ * \-_)&quot; $&quot;_ ;_ @_ "/>
    <numFmt numFmtId="169" formatCode="0\ %"/>
    <numFmt numFmtId="170" formatCode="\$#,##0"/>
    <numFmt numFmtId="171" formatCode="0.00%"/>
    <numFmt numFmtId="172" formatCode="\$#,##0.00;[RED]&quot;($&quot;#,##0.00\);\-"/>
    <numFmt numFmtId="173" formatCode="\$#,##0.00"/>
    <numFmt numFmtId="174" formatCode="0.00;[RED]\(0.00\);\-"/>
    <numFmt numFmtId="175" formatCode="0.0"/>
    <numFmt numFmtId="176" formatCode="0.0%"/>
    <numFmt numFmtId="177" formatCode="0"/>
    <numFmt numFmtId="178" formatCode="yyyy/mm/dd"/>
    <numFmt numFmtId="179" formatCode="hh:mm"/>
    <numFmt numFmtId="180" formatCode="0.00####"/>
    <numFmt numFmtId="181" formatCode="0%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18223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82230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8A57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82230"/>
      <name val="Calibri"/>
      <family val="0"/>
      <charset val="1"/>
    </font>
    <font>
      <b val="true"/>
      <sz val="9"/>
      <color rgb="FF8A5700"/>
      <name val="Calibri"/>
      <family val="0"/>
      <charset val="1"/>
    </font>
    <font>
      <b val="true"/>
      <sz val="11"/>
      <color rgb="FFB42318"/>
      <name val="Calibri"/>
      <family val="0"/>
      <charset val="1"/>
    </font>
    <font>
      <sz val="9"/>
      <color rgb="FF0000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182230"/>
      <name val="Calibri"/>
      <family val="0"/>
      <charset val="1"/>
    </font>
    <font>
      <sz val="10"/>
      <color rgb="FF182230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9"/>
      <color rgb="FFB42318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24D"/>
        <bgColor rgb="FF182230"/>
      </patternFill>
    </fill>
    <fill>
      <patternFill patternType="solid">
        <fgColor rgb="FFEAF2F8"/>
        <bgColor rgb="FFF2F4F5"/>
      </patternFill>
    </fill>
    <fill>
      <patternFill patternType="solid">
        <fgColor rgb="FF1F7A8C"/>
        <bgColor rgb="FF008080"/>
      </patternFill>
    </fill>
    <fill>
      <patternFill patternType="solid">
        <fgColor rgb="FFFFF0C2"/>
        <bgColor rgb="FFFDE2E1"/>
      </patternFill>
    </fill>
    <fill>
      <patternFill patternType="solid">
        <fgColor rgb="FFF2F4F5"/>
        <bgColor rgb="FFEAF2F8"/>
      </patternFill>
    </fill>
    <fill>
      <patternFill patternType="solid">
        <fgColor rgb="FFFDE2E1"/>
        <bgColor rgb="FFE6E9EC"/>
      </patternFill>
    </fill>
    <fill>
      <patternFill patternType="solid">
        <fgColor rgb="FFFFFFFF"/>
        <bgColor rgb="FFF2F4F5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1F7A8C"/>
      </left>
      <right style="thin">
        <color rgb="FF1F7A8C"/>
      </right>
      <top style="thin">
        <color rgb="FF1F7A8C"/>
      </top>
      <bottom style="thin">
        <color rgb="FF1F7A8C"/>
      </bottom>
      <diagonal/>
    </border>
    <border diagonalUp="false" diagonalDown="false">
      <left style="thin">
        <color rgb="FFCCD3DA"/>
      </left>
      <right/>
      <top style="thin">
        <color rgb="FFCCD3DA"/>
      </top>
      <bottom/>
      <diagonal/>
    </border>
    <border diagonalUp="false" diagonalDown="false">
      <left/>
      <right style="thin">
        <color rgb="FFCCD3DA"/>
      </right>
      <top style="thin">
        <color rgb="FFCCD3DA"/>
      </top>
      <bottom/>
      <diagonal/>
    </border>
    <border diagonalUp="false" diagonalDown="false">
      <left style="thin">
        <color rgb="FFCCD3DA"/>
      </left>
      <right/>
      <top/>
      <bottom/>
      <diagonal/>
    </border>
    <border diagonalUp="false" diagonalDown="false">
      <left/>
      <right style="thin">
        <color rgb="FFCCD3DA"/>
      </right>
      <top/>
      <bottom/>
      <diagonal/>
    </border>
    <border diagonalUp="false" diagonalDown="false">
      <left style="thin">
        <color rgb="FFCCD3DA"/>
      </left>
      <right/>
      <top/>
      <bottom style="thin">
        <color rgb="FFCCD3DA"/>
      </bottom>
      <diagonal/>
    </border>
    <border diagonalUp="false" diagonalDown="false">
      <left/>
      <right style="thin">
        <color rgb="FFCCD3DA"/>
      </right>
      <top/>
      <bottom style="thin">
        <color rgb="FFCCD3DA"/>
      </bottom>
      <diagonal/>
    </border>
    <border diagonalUp="false" diagonalDown="false">
      <left style="thin">
        <color rgb="FFCCD3DA"/>
      </left>
      <right style="thin">
        <color rgb="FFCCD3DA"/>
      </right>
      <top style="thin">
        <color rgb="FFCCD3DA"/>
      </top>
      <bottom/>
      <diagonal/>
    </border>
    <border diagonalUp="false" diagonalDown="false">
      <left/>
      <right/>
      <top/>
      <bottom style="thin">
        <color rgb="FFCCD3DA"/>
      </bottom>
      <diagonal/>
    </border>
    <border diagonalUp="false" diagonalDown="false">
      <left style="thin">
        <color rgb="FFCCD3DA"/>
      </left>
      <right style="thin">
        <color rgb="FFCCD3DA"/>
      </right>
      <top/>
      <bottom/>
      <diagonal/>
    </border>
    <border diagonalUp="false" diagonalDown="false">
      <left/>
      <right/>
      <top/>
      <bottom style="thin">
        <color rgb="FFE6E9EC"/>
      </bottom>
      <diagonal/>
    </border>
    <border diagonalUp="false" diagonalDown="false">
      <left/>
      <right/>
      <top style="thin">
        <color rgb="FFE6E9EC"/>
      </top>
      <bottom style="thin">
        <color rgb="FFE6E9EC"/>
      </bottom>
      <diagonal/>
    </border>
    <border diagonalUp="false" diagonalDown="false">
      <left/>
      <right/>
      <top style="thin">
        <color rgb="FFE6E9E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E1E8"/>
      </left>
      <right style="thin">
        <color rgb="FFD9E1E8"/>
      </right>
      <top/>
      <bottom style="thin">
        <color rgb="FFD9E1E8"/>
      </bottom>
      <diagonal/>
    </border>
    <border diagonalUp="false" diagonalDown="false"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 diagonalUp="false" diagonalDown="false">
      <left style="thin">
        <color rgb="FFD9E1E8"/>
      </left>
      <right style="thin">
        <color rgb="FFD9E1E8"/>
      </right>
      <top style="thin">
        <color rgb="FFD9E1E8"/>
      </top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5" borderId="3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6" borderId="3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4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5" borderId="5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1" fillId="6" borderId="5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6" borderId="5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1" fillId="6" borderId="5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1" fillId="6" borderId="5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10" fillId="5" borderId="5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11" fillId="6" borderId="5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11" fillId="6" borderId="5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6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5" borderId="7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5" borderId="7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7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2" borderId="8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4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5" borderId="0" xfId="2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0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5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6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5" borderId="9" xfId="2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9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7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7" borderId="0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5" borderId="0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2" borderId="5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4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1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8" fontId="17" fillId="0" borderId="11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9" fontId="17" fillId="0" borderId="11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80" fontId="17" fillId="0" borderId="11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7" fontId="17" fillId="0" borderId="11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80" fontId="18" fillId="6" borderId="11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2" fontId="17" fillId="0" borderId="11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2" fontId="18" fillId="6" borderId="11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4" fontId="18" fillId="6" borderId="11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12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8" fontId="17" fillId="0" borderId="12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9" fontId="17" fillId="0" borderId="12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80" fontId="17" fillId="0" borderId="12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7" fontId="17" fillId="0" borderId="12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80" fontId="18" fillId="6" borderId="12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2" fontId="17" fillId="0" borderId="12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2" fontId="18" fillId="6" borderId="12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4" fontId="18" fillId="6" borderId="12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13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8" fontId="17" fillId="0" borderId="13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9" fontId="17" fillId="0" borderId="13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80" fontId="17" fillId="0" borderId="13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7" fontId="17" fillId="0" borderId="13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2" fontId="17" fillId="0" borderId="13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81" fontId="17" fillId="0" borderId="11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81" fontId="17" fillId="0" borderId="12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81" fontId="17" fillId="0" borderId="13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4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11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8" fontId="20" fillId="5" borderId="11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7" fontId="20" fillId="5" borderId="11" xfId="2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20" fillId="5" borderId="11" xfId="2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20" fillId="5" borderId="11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7" fontId="21" fillId="8" borderId="15" xfId="2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21" fillId="8" borderId="16" xfId="2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21" fillId="8" borderId="17" xfId="2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14" fillId="0" borderId="0" xfId="2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6" borderId="0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5" borderId="0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4" fillId="7" borderId="0" xfId="25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17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4F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B42318"/>
      </font>
      <fill>
        <patternFill>
          <bgColor rgb="FFFDE2E1"/>
        </patternFill>
      </fill>
    </dxf>
    <dxf>
      <font>
        <b val="1"/>
        <color rgb="FFB42318"/>
      </font>
      <fill>
        <patternFill>
          <bgColor rgb="FFFDE2E1"/>
        </patternFill>
      </fill>
    </dxf>
    <dxf>
      <font>
        <color rgb="FF8A5700"/>
      </font>
      <fill>
        <patternFill>
          <bgColor rgb="FFFFF0C2"/>
        </patternFill>
      </fill>
    </dxf>
    <dxf>
      <font>
        <b val="1"/>
        <color rgb="FFB42318"/>
      </font>
      <fill>
        <patternFill>
          <bgColor rgb="FFFDE2E1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 patternType="solid">
          <fgColor rgb="FF8A5700"/>
          <bgColor rgb="FF000000"/>
        </patternFill>
      </fill>
    </dxf>
    <dxf>
      <fill>
        <patternFill patternType="solid">
          <fgColor rgb="FF182230"/>
          <bgColor rgb="FF000000"/>
        </patternFill>
      </fill>
    </dxf>
    <dxf>
      <fill>
        <patternFill patternType="solid">
          <fgColor rgb="FFD8F3DC"/>
          <bgColor rgb="FF000000"/>
        </patternFill>
      </fill>
    </dxf>
    <dxf>
      <fill>
        <patternFill patternType="solid">
          <fgColor rgb="FF176B3A"/>
          <bgColor rgb="FF000000"/>
        </patternFill>
      </fill>
    </dxf>
    <dxf>
      <font>
        <color rgb="FFB42318"/>
      </font>
      <fill>
        <patternFill>
          <bgColor rgb="FFFDE2E1"/>
        </patternFill>
      </fill>
    </dxf>
    <dxf>
      <font>
        <color rgb="FF176B3A"/>
      </font>
      <fill>
        <patternFill>
          <bgColor rgb="FFD8F3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76B3A"/>
      <rgbColor rgb="FF000080"/>
      <rgbColor rgb="FF8A5700"/>
      <rgbColor rgb="FF800080"/>
      <rgbColor rgb="FF1F7A8C"/>
      <rgbColor rgb="FFD9E1E8"/>
      <rgbColor rgb="FF808080"/>
      <rgbColor rgb="FF9999FF"/>
      <rgbColor rgb="FF993366"/>
      <rgbColor rgb="FFFFF0C2"/>
      <rgbColor rgb="FFEAF2F8"/>
      <rgbColor rgb="FF660066"/>
      <rgbColor rgb="FFFF8080"/>
      <rgbColor rgb="FF0066CC"/>
      <rgbColor rgb="FFCC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5"/>
      <rgbColor rgb="FFD8F3DC"/>
      <rgbColor rgb="FFE6E9EC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B42318"/>
      <rgbColor rgb="FF993366"/>
      <rgbColor rgb="FF333399"/>
      <rgbColor rgb="FF182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acktestTable" displayName="BacktestTable" ref="A5:AD205" headerRowCount="1" totalsRowCount="0" totalsRowShown="0">
  <autoFilter ref="A5:AD205"/>
  <tableColumns count="30">
    <tableColumn id="1" name="Case ID"/>
    <tableColumn id="2" name="Date"/>
    <tableColumn id="3" name="Instrument"/>
    <tableColumn id="4" name="Setup Version"/>
    <tableColumn id="5" name="Sample"/>
    <tableColumn id="6" name="Direction"/>
    <tableColumn id="7" name="Regime"/>
    <tableColumn id="8" name="Location"/>
    <tableColumn id="9" name="Entry"/>
    <tableColumn id="10" name="Stop"/>
    <tableColumn id="11" name="Target"/>
    <tableColumn id="12" name="Exit"/>
    <tableColumn id="13" name="Contracts"/>
    <tableColumn id="14" name="Tick Size"/>
    <tableColumn id="15" name="Tick Value"/>
    <tableColumn id="16" name="Fees"/>
    <tableColumn id="17" name="Slippage"/>
    <tableColumn id="18" name="Gross P&amp;L"/>
    <tableColumn id="19" name="Net P&amp;L"/>
    <tableColumn id="20" name="Initial Risk $"/>
    <tableColumn id="21" name="R Multiple"/>
    <tableColumn id="22" name="MAE $"/>
    <tableColumn id="23" name="MFE $"/>
    <tableColumn id="24" name="Included"/>
    <tableColumn id="25" name="Exclusion Reason"/>
    <tableColumn id="26" name="Screenshot"/>
    <tableColumn id="27" name="Notes"/>
    <tableColumn id="28" name="Cumulative R"/>
    <tableColumn id="29" name="Peak R"/>
    <tableColumn id="30" name="Drawdown R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ObservationsTable" displayName="ObservationsTable" ref="A5:O205" headerRowCount="1" totalsRowCount="0" totalsRowShown="0">
  <autoFilter ref="A5:O205"/>
  <tableColumns count="15">
    <tableColumn id="1" name="Observation ID"/>
    <tableColumn id="2" name="Date"/>
    <tableColumn id="3" name="Week"/>
    <tableColumn id="4" name="Instrument"/>
    <tableColumn id="5" name="Session"/>
    <tableColumn id="6" name="Observation Type"/>
    <tableColumn id="7" name="Regime"/>
    <tableColumn id="8" name="Location"/>
    <tableColumn id="9" name="Hypothesis Time"/>
    <tableColumn id="10" name="Predeclared Hypothesis"/>
    <tableColumn id="11" name="Confidence %"/>
    <tableColumn id="12" name="Outcome"/>
    <tableColumn id="13" name="Assigned Label"/>
    <tableColumn id="14" name="Hindsight Contamination"/>
    <tableColumn id="15" name="Screenshot / Notes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StudyLogTable" displayName="StudyLogTable" ref="A5:H205" headerRowCount="1" totalsRowCount="0" totalsRowShown="0">
  <autoFilter ref="A5:H205"/>
  <tableColumns count="8">
    <tableColumn id="1" name="Study ID"/>
    <tableColumn id="2" name="Date"/>
    <tableColumn id="3" name="Week"/>
    <tableColumn id="4" name="Topic"/>
    <tableColumn id="5" name="Completed"/>
    <tableColumn id="6" name="Key Learning"/>
    <tableColumn id="7" name="Open Question"/>
    <tableColumn id="8" name="Evidence Link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TradesTable" displayName="TradesTable" ref="A5:AL205" headerRowCount="1" totalsRowCount="0" totalsRowShown="0">
  <autoFilter ref="A5:AL205"/>
  <tableColumns count="38">
    <tableColumn id="1" name="Trade ID"/>
    <tableColumn id="2" name="Date"/>
    <tableColumn id="3" name="Account Mode"/>
    <tableColumn id="4" name="Week"/>
    <tableColumn id="5" name="Instrument"/>
    <tableColumn id="6" name="Contract"/>
    <tableColumn id="7" name="Session"/>
    <tableColumn id="8" name="Direction"/>
    <tableColumn id="9" name="Setup Version"/>
    <tableColumn id="10" name="Regime"/>
    <tableColumn id="11" name="Location"/>
    <tableColumn id="12" name="Entry Time"/>
    <tableColumn id="13" name="Entry Price"/>
    <tableColumn id="14" name="Stop Price"/>
    <tableColumn id="15" name="Target Price"/>
    <tableColumn id="16" name="Exit Time"/>
    <tableColumn id="17" name="Exit Price"/>
    <tableColumn id="18" name="Contracts"/>
    <tableColumn id="19" name="Tick Size"/>
    <tableColumn id="20" name="Tick Value"/>
    <tableColumn id="21" name="Fees"/>
    <tableColumn id="22" name="Slippage"/>
    <tableColumn id="23" name="Gross P&amp;L"/>
    <tableColumn id="24" name="Net P&amp;L"/>
    <tableColumn id="25" name="Initial Risk $"/>
    <tableColumn id="26" name="R Multiple"/>
    <tableColumn id="27" name="MAE $"/>
    <tableColumn id="28" name="MFE $"/>
    <tableColumn id="29" name="Plan Followed"/>
    <tableColumn id="30" name="Process Grade"/>
    <tableColumn id="31" name="Hard Breach"/>
    <tableColumn id="32" name="Emotion/State"/>
    <tableColumn id="33" name="Screenshot Before"/>
    <tableColumn id="34" name="Screenshot After"/>
    <tableColumn id="35" name="Notes"/>
    <tableColumn id="36" name="Cumulative R"/>
    <tableColumn id="37" name="Peak R"/>
    <tableColumn id="38" name="Drawdown 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7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4"/>
    <col collapsed="false" customWidth="true" hidden="false" outlineLevel="0" max="4" min="4" style="1" width="23"/>
    <col collapsed="false" customWidth="true" hidden="false" outlineLevel="0" max="6" min="5" style="1" width="14"/>
    <col collapsed="false" customWidth="true" hidden="false" outlineLevel="0" max="7" min="7" style="1" width="24"/>
    <col collapsed="false" customWidth="true" hidden="false" outlineLevel="0" max="8" min="8" style="1" width="23"/>
  </cols>
  <sheetData>
    <row r="1" customFormat="false" ht="32" hidden="false" customHeight="true" outlineLevel="0" collapsed="fals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 customFormat="false" ht="28" hidden="false" customHeight="true" outlineLevel="0" collapsed="false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</row>
    <row r="4" customFormat="false" ht="15" hidden="false" customHeight="false" outlineLevel="0" collapsed="false">
      <c r="A4" s="4" t="s">
        <v>2</v>
      </c>
      <c r="B4" s="4" t="s">
        <v>2</v>
      </c>
      <c r="D4" s="4" t="s">
        <v>3</v>
      </c>
      <c r="E4" s="4" t="s">
        <v>3</v>
      </c>
      <c r="G4" s="4" t="s">
        <v>4</v>
      </c>
      <c r="H4" s="4" t="s">
        <v>4</v>
      </c>
    </row>
    <row r="5" customFormat="false" ht="15" hidden="false" customHeight="false" outlineLevel="0" collapsed="false">
      <c r="A5" s="5" t="s">
        <v>5</v>
      </c>
      <c r="B5" s="6" t="n">
        <v>10000</v>
      </c>
      <c r="D5" s="5" t="s">
        <v>6</v>
      </c>
      <c r="E5" s="7" t="n">
        <f aca="false">COUNT(Trades!$B$6:$B$205)</f>
        <v>0</v>
      </c>
      <c r="G5" s="5" t="s">
        <v>7</v>
      </c>
      <c r="H5" s="7" t="n">
        <f aca="false">COUNTIF(Backtest!$X$6:$X$205,"Yes")</f>
        <v>0</v>
      </c>
    </row>
    <row r="6" customFormat="false" ht="15" hidden="false" customHeight="false" outlineLevel="0" collapsed="false">
      <c r="A6" s="8" t="s">
        <v>8</v>
      </c>
      <c r="B6" s="9" t="n">
        <v>0.0025</v>
      </c>
      <c r="D6" s="8" t="s">
        <v>9</v>
      </c>
      <c r="E6" s="10" t="n">
        <f aca="false">SUM(Trades!$X$6:$X$205)</f>
        <v>0</v>
      </c>
      <c r="G6" s="8" t="s">
        <v>10</v>
      </c>
      <c r="H6" s="11" t="n">
        <f aca="false">COUNTIFS(Backtest!$E$6:$E$205,"Out-of-sample",Backtest!$X$6:$X$205,"Yes")</f>
        <v>0</v>
      </c>
    </row>
    <row r="7" customFormat="false" ht="15" hidden="false" customHeight="false" outlineLevel="0" collapsed="false">
      <c r="A7" s="8" t="s">
        <v>11</v>
      </c>
      <c r="B7" s="12" t="n">
        <f aca="false">B5*B6</f>
        <v>25</v>
      </c>
      <c r="D7" s="8" t="s">
        <v>12</v>
      </c>
      <c r="E7" s="13" t="n">
        <f aca="false">SUM(Trades!$Z$6:$Z$205)</f>
        <v>0</v>
      </c>
      <c r="G7" s="8" t="s">
        <v>13</v>
      </c>
      <c r="H7" s="11" t="n">
        <f aca="false">COUNTIF(Trades!$C$6:$C$205,"Replay Sim")</f>
        <v>0</v>
      </c>
    </row>
    <row r="8" customFormat="false" ht="15" hidden="false" customHeight="false" outlineLevel="0" collapsed="false">
      <c r="A8" s="8" t="s">
        <v>14</v>
      </c>
      <c r="B8" s="14" t="n">
        <v>2</v>
      </c>
      <c r="D8" s="8" t="s">
        <v>15</v>
      </c>
      <c r="E8" s="15" t="str">
        <f aca="false">IF(E5=0,"",COUNTIF(Trades!$Z$6:$Z$205,"&gt;0")/E5)</f>
        <v/>
      </c>
      <c r="G8" s="8" t="s">
        <v>16</v>
      </c>
      <c r="H8" s="11" t="n">
        <f aca="false">COUNTIF(Trades!$C$6:$C$205,"Server Sim")</f>
        <v>0</v>
      </c>
    </row>
    <row r="9" customFormat="false" ht="15" hidden="false" customHeight="false" outlineLevel="0" collapsed="false">
      <c r="A9" s="8" t="s">
        <v>17</v>
      </c>
      <c r="B9" s="14" t="n">
        <v>5</v>
      </c>
      <c r="D9" s="8" t="s">
        <v>18</v>
      </c>
      <c r="E9" s="13" t="str">
        <f aca="false">IF(E5=0,"",E7/E5)</f>
        <v/>
      </c>
      <c r="G9" s="8" t="s">
        <v>19</v>
      </c>
      <c r="H9" s="11" t="n">
        <f aca="false">COUNT(Observations!$B$6:$B$205)</f>
        <v>0</v>
      </c>
    </row>
    <row r="10" customFormat="false" ht="15" hidden="false" customHeight="false" outlineLevel="0" collapsed="false">
      <c r="A10" s="8" t="s">
        <v>20</v>
      </c>
      <c r="B10" s="14" t="n">
        <v>7.5</v>
      </c>
      <c r="D10" s="8" t="s">
        <v>21</v>
      </c>
      <c r="E10" s="13" t="str">
        <f aca="false">IF(ABS(SUMIF(Trades!$Z$6:$Z$205,"&lt;0",Trades!$Z$6:$Z$205))=0,"",SUMIF(Trades!$Z$6:$Z$205,"&gt;0",Trades!$Z$6:$Z$205)/ABS(SUMIF(Trades!$Z$6:$Z$205,"&lt;0",Trades!$Z$6:$Z$205)))</f>
        <v/>
      </c>
      <c r="G10" s="8" t="s">
        <v>22</v>
      </c>
      <c r="H10" s="16" t="n">
        <f aca="false">SUMIFS('Study Log'!$I$6:$I$205,'Study Log'!$A$6:$A$205,"&lt;&gt;EXAMPLE-001")/60</f>
        <v>21.6666666666667</v>
      </c>
    </row>
    <row r="11" customFormat="false" ht="15" hidden="false" customHeight="false" outlineLevel="0" collapsed="false">
      <c r="A11" s="17" t="s">
        <v>23</v>
      </c>
      <c r="B11" s="18" t="n">
        <v>1</v>
      </c>
      <c r="D11" s="8" t="s">
        <v>24</v>
      </c>
      <c r="E11" s="13" t="str">
        <f aca="false">IF(E5=0,"",ABS(MIN(Trades!$AL$6:$AL$205)))</f>
        <v/>
      </c>
      <c r="G11" s="17" t="s">
        <v>25</v>
      </c>
      <c r="H11" s="19" t="s">
        <v>26</v>
      </c>
    </row>
    <row r="12" customFormat="false" ht="15" hidden="false" customHeight="false" outlineLevel="0" collapsed="false">
      <c r="D12" s="8" t="s">
        <v>27</v>
      </c>
      <c r="E12" s="15" t="str">
        <f aca="false">IF(E5=0,"",COUNTIF(Trades!$AC$6:$AC$205,"Yes")/E5)</f>
        <v/>
      </c>
    </row>
    <row r="13" customFormat="false" ht="15" hidden="false" customHeight="false" outlineLevel="0" collapsed="false">
      <c r="D13" s="17" t="s">
        <v>28</v>
      </c>
      <c r="E13" s="20" t="n">
        <f aca="false">COUNTIF(Trades!$AE$6:$AE$205,"Yes")</f>
        <v>0</v>
      </c>
    </row>
    <row r="14" customFormat="false" ht="15" hidden="false" customHeight="false" outlineLevel="0" collapsed="false">
      <c r="A14" s="4" t="s">
        <v>29</v>
      </c>
      <c r="B14" s="4" t="s">
        <v>29</v>
      </c>
      <c r="C14" s="4" t="s">
        <v>29</v>
      </c>
      <c r="D14" s="4" t="s">
        <v>29</v>
      </c>
      <c r="E14" s="4" t="s">
        <v>29</v>
      </c>
      <c r="F14" s="4" t="s">
        <v>29</v>
      </c>
      <c r="G14" s="4" t="s">
        <v>29</v>
      </c>
      <c r="H14" s="4" t="s">
        <v>29</v>
      </c>
    </row>
    <row r="15" customFormat="false" ht="34" hidden="false" customHeight="true" outlineLevel="0" collapsed="false">
      <c r="A15" s="21" t="s">
        <v>30</v>
      </c>
      <c r="B15" s="21" t="s">
        <v>31</v>
      </c>
      <c r="C15" s="21" t="s">
        <v>32</v>
      </c>
      <c r="D15" s="21" t="s">
        <v>33</v>
      </c>
      <c r="E15" s="21" t="s">
        <v>34</v>
      </c>
      <c r="F15" s="21" t="s">
        <v>35</v>
      </c>
      <c r="G15" s="21" t="s">
        <v>36</v>
      </c>
      <c r="H15" s="21" t="s">
        <v>37</v>
      </c>
    </row>
    <row r="16" customFormat="false" ht="38" hidden="false" customHeight="true" outlineLevel="0" collapsed="false">
      <c r="A16" s="22" t="s">
        <v>38</v>
      </c>
      <c r="B16" s="23" t="s">
        <v>39</v>
      </c>
      <c r="C16" s="24" t="s">
        <v>40</v>
      </c>
      <c r="D16" s="24"/>
      <c r="E16" s="24" t="s">
        <v>41</v>
      </c>
      <c r="F16" s="24" t="s">
        <v>42</v>
      </c>
      <c r="G16" s="24" t="s">
        <v>43</v>
      </c>
      <c r="H16" s="25" t="s">
        <v>44</v>
      </c>
    </row>
    <row r="17" customFormat="false" ht="38" hidden="false" customHeight="true" outlineLevel="0" collapsed="false">
      <c r="A17" s="22" t="s">
        <v>45</v>
      </c>
      <c r="B17" s="23" t="s">
        <v>39</v>
      </c>
      <c r="C17" s="24" t="s">
        <v>46</v>
      </c>
      <c r="D17" s="24" t="n">
        <v>0</v>
      </c>
      <c r="E17" s="24" t="n">
        <v>20</v>
      </c>
      <c r="F17" s="24" t="s">
        <v>47</v>
      </c>
      <c r="G17" s="24" t="s">
        <v>43</v>
      </c>
      <c r="H17" s="25" t="s">
        <v>48</v>
      </c>
    </row>
    <row r="18" customFormat="false" ht="38" hidden="false" customHeight="true" outlineLevel="0" collapsed="false">
      <c r="A18" s="22" t="s">
        <v>49</v>
      </c>
      <c r="B18" s="23" t="s">
        <v>39</v>
      </c>
      <c r="C18" s="24" t="s">
        <v>50</v>
      </c>
      <c r="D18" s="24" t="n">
        <v>0</v>
      </c>
      <c r="E18" s="24" t="n">
        <v>30</v>
      </c>
      <c r="F18" s="24" t="s">
        <v>51</v>
      </c>
      <c r="G18" s="24" t="s">
        <v>43</v>
      </c>
      <c r="H18" s="25" t="s">
        <v>52</v>
      </c>
    </row>
    <row r="19" customFormat="false" ht="38" hidden="false" customHeight="true" outlineLevel="0" collapsed="false">
      <c r="A19" s="22" t="s">
        <v>53</v>
      </c>
      <c r="B19" s="23" t="s">
        <v>39</v>
      </c>
      <c r="C19" s="24" t="s">
        <v>54</v>
      </c>
      <c r="D19" s="24" t="n">
        <v>0</v>
      </c>
      <c r="E19" s="24" t="s">
        <v>55</v>
      </c>
      <c r="F19" s="24" t="s">
        <v>56</v>
      </c>
      <c r="G19" s="24" t="s">
        <v>57</v>
      </c>
      <c r="H19" s="25" t="s">
        <v>58</v>
      </c>
    </row>
    <row r="20" customFormat="false" ht="38" hidden="false" customHeight="true" outlineLevel="0" collapsed="false">
      <c r="A20" s="22" t="s">
        <v>59</v>
      </c>
      <c r="B20" s="23" t="s">
        <v>39</v>
      </c>
      <c r="C20" s="24" t="s">
        <v>60</v>
      </c>
      <c r="D20" s="24" t="n">
        <v>0</v>
      </c>
      <c r="E20" s="24" t="s">
        <v>61</v>
      </c>
      <c r="F20" s="24" t="s">
        <v>62</v>
      </c>
      <c r="G20" s="24" t="s">
        <v>43</v>
      </c>
      <c r="H20" s="25" t="s">
        <v>63</v>
      </c>
    </row>
    <row r="21" customFormat="false" ht="38" hidden="false" customHeight="true" outlineLevel="0" collapsed="false">
      <c r="A21" s="26" t="s">
        <v>64</v>
      </c>
      <c r="B21" s="27" t="s">
        <v>39</v>
      </c>
      <c r="C21" s="28" t="s">
        <v>65</v>
      </c>
      <c r="D21" s="28" t="n">
        <v>0</v>
      </c>
      <c r="E21" s="28" t="s">
        <v>66</v>
      </c>
      <c r="F21" s="28" t="s">
        <v>67</v>
      </c>
      <c r="G21" s="28" t="s">
        <v>68</v>
      </c>
      <c r="H21" s="29" t="s">
        <v>69</v>
      </c>
    </row>
    <row r="23" customFormat="false" ht="15" hidden="false" customHeight="true" outlineLevel="0" collapsed="false">
      <c r="A23" s="30" t="s">
        <v>70</v>
      </c>
      <c r="B23" s="30" t="s">
        <v>70</v>
      </c>
      <c r="C23" s="30" t="s">
        <v>70</v>
      </c>
      <c r="D23" s="30" t="s">
        <v>70</v>
      </c>
      <c r="E23" s="30" t="s">
        <v>70</v>
      </c>
      <c r="F23" s="30" t="s">
        <v>70</v>
      </c>
      <c r="G23" s="30" t="s">
        <v>70</v>
      </c>
      <c r="H23" s="30" t="s">
        <v>70</v>
      </c>
    </row>
    <row r="24" customFormat="false" ht="15" hidden="false" customHeight="false" outlineLevel="0" collapsed="false">
      <c r="A24" s="30" t="s">
        <v>70</v>
      </c>
      <c r="B24" s="30" t="s">
        <v>70</v>
      </c>
      <c r="C24" s="30" t="s">
        <v>70</v>
      </c>
      <c r="D24" s="30" t="s">
        <v>70</v>
      </c>
      <c r="E24" s="30" t="s">
        <v>70</v>
      </c>
      <c r="F24" s="30" t="s">
        <v>70</v>
      </c>
      <c r="G24" s="30" t="s">
        <v>70</v>
      </c>
      <c r="H24" s="30" t="s">
        <v>70</v>
      </c>
    </row>
    <row r="25" customFormat="false" ht="15" hidden="false" customHeight="false" outlineLevel="0" collapsed="false">
      <c r="A25" s="30" t="s">
        <v>70</v>
      </c>
      <c r="B25" s="30" t="s">
        <v>70</v>
      </c>
      <c r="C25" s="30" t="s">
        <v>70</v>
      </c>
      <c r="D25" s="30" t="s">
        <v>70</v>
      </c>
      <c r="E25" s="30" t="s">
        <v>70</v>
      </c>
      <c r="F25" s="30" t="s">
        <v>70</v>
      </c>
      <c r="G25" s="30" t="s">
        <v>70</v>
      </c>
      <c r="H25" s="30" t="s">
        <v>70</v>
      </c>
    </row>
  </sheetData>
  <mergeCells count="7">
    <mergeCell ref="A1:H1"/>
    <mergeCell ref="A2:H2"/>
    <mergeCell ref="A4:B4"/>
    <mergeCell ref="D4:E4"/>
    <mergeCell ref="G4:H4"/>
    <mergeCell ref="A14:H14"/>
    <mergeCell ref="A23:H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0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7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5"/>
    <col collapsed="false" customWidth="true" hidden="false" outlineLevel="0" max="10" min="10" style="1" width="13"/>
    <col collapsed="false" customWidth="true" hidden="false" outlineLevel="0" max="11" min="11" style="1" width="22"/>
    <col collapsed="false" customWidth="true" hidden="false" outlineLevel="0" max="12" min="12" style="1" width="10"/>
    <col collapsed="false" customWidth="true" hidden="false" outlineLevel="0" max="17" min="13" style="1" width="12"/>
    <col collapsed="false" customWidth="true" hidden="false" outlineLevel="0" max="20" min="18" style="1" width="10"/>
    <col collapsed="false" customWidth="true" hidden="false" outlineLevel="0" max="25" min="21" style="1" width="12"/>
    <col collapsed="false" customWidth="true" hidden="false" outlineLevel="0" max="28" min="26" style="1" width="11"/>
    <col collapsed="false" customWidth="true" hidden="false" outlineLevel="0" max="31" min="29" style="1" width="13"/>
    <col collapsed="false" customWidth="true" hidden="false" outlineLevel="0" max="32" min="32" style="1" width="19"/>
    <col collapsed="false" customWidth="true" hidden="false" outlineLevel="0" max="34" min="33" style="1" width="28"/>
    <col collapsed="false" customWidth="true" hidden="false" outlineLevel="0" max="35" min="35" style="1" width="42"/>
    <col collapsed="false" customWidth="true" hidden="false" outlineLevel="0" max="38" min="36" style="1" width="12"/>
  </cols>
  <sheetData>
    <row r="1" customFormat="false" ht="32" hidden="false" customHeight="true" outlineLevel="0" collapsed="false">
      <c r="A1" s="2" t="s">
        <v>71</v>
      </c>
      <c r="B1" s="2" t="s">
        <v>71</v>
      </c>
      <c r="C1" s="2" t="s">
        <v>71</v>
      </c>
      <c r="D1" s="2" t="s">
        <v>71</v>
      </c>
      <c r="E1" s="2" t="s">
        <v>71</v>
      </c>
      <c r="F1" s="2" t="s">
        <v>71</v>
      </c>
      <c r="G1" s="2" t="s">
        <v>71</v>
      </c>
      <c r="H1" s="2" t="s">
        <v>71</v>
      </c>
      <c r="I1" s="2" t="s">
        <v>71</v>
      </c>
      <c r="J1" s="2" t="s">
        <v>71</v>
      </c>
      <c r="K1" s="2" t="s">
        <v>71</v>
      </c>
      <c r="L1" s="2" t="s">
        <v>71</v>
      </c>
      <c r="M1" s="2" t="s">
        <v>71</v>
      </c>
      <c r="N1" s="2" t="s">
        <v>71</v>
      </c>
      <c r="O1" s="2" t="s">
        <v>71</v>
      </c>
      <c r="P1" s="2" t="s">
        <v>71</v>
      </c>
      <c r="Q1" s="2" t="s">
        <v>71</v>
      </c>
      <c r="R1" s="2" t="s">
        <v>71</v>
      </c>
      <c r="S1" s="2" t="s">
        <v>71</v>
      </c>
      <c r="T1" s="2" t="s">
        <v>71</v>
      </c>
      <c r="U1" s="2" t="s">
        <v>71</v>
      </c>
      <c r="V1" s="2" t="s">
        <v>71</v>
      </c>
      <c r="W1" s="2" t="s">
        <v>71</v>
      </c>
      <c r="X1" s="2" t="s">
        <v>71</v>
      </c>
      <c r="Y1" s="2" t="s">
        <v>71</v>
      </c>
      <c r="Z1" s="2" t="s">
        <v>71</v>
      </c>
      <c r="AA1" s="2" t="s">
        <v>71</v>
      </c>
      <c r="AB1" s="2" t="s">
        <v>71</v>
      </c>
      <c r="AC1" s="2" t="s">
        <v>71</v>
      </c>
      <c r="AD1" s="2" t="s">
        <v>71</v>
      </c>
      <c r="AE1" s="2" t="s">
        <v>71</v>
      </c>
      <c r="AF1" s="2" t="s">
        <v>71</v>
      </c>
      <c r="AG1" s="2" t="s">
        <v>71</v>
      </c>
      <c r="AH1" s="2" t="s">
        <v>71</v>
      </c>
      <c r="AI1" s="2" t="s">
        <v>71</v>
      </c>
      <c r="AJ1" s="2" t="s">
        <v>71</v>
      </c>
      <c r="AK1" s="2" t="s">
        <v>71</v>
      </c>
      <c r="AL1" s="2" t="s">
        <v>71</v>
      </c>
    </row>
    <row r="2" customFormat="false" ht="28" hidden="false" customHeight="true" outlineLevel="0" collapsed="false">
      <c r="A2" s="3" t="s">
        <v>72</v>
      </c>
      <c r="B2" s="3" t="s">
        <v>72</v>
      </c>
      <c r="C2" s="3" t="s">
        <v>72</v>
      </c>
      <c r="D2" s="3" t="s">
        <v>72</v>
      </c>
      <c r="E2" s="3" t="s">
        <v>72</v>
      </c>
      <c r="F2" s="3" t="s">
        <v>72</v>
      </c>
      <c r="G2" s="3" t="s">
        <v>72</v>
      </c>
      <c r="H2" s="3" t="s">
        <v>72</v>
      </c>
      <c r="I2" s="3" t="s">
        <v>72</v>
      </c>
      <c r="J2" s="3" t="s">
        <v>72</v>
      </c>
      <c r="K2" s="3" t="s">
        <v>72</v>
      </c>
      <c r="L2" s="3" t="s">
        <v>72</v>
      </c>
      <c r="M2" s="3" t="s">
        <v>72</v>
      </c>
      <c r="N2" s="3" t="s">
        <v>72</v>
      </c>
      <c r="O2" s="3" t="s">
        <v>72</v>
      </c>
      <c r="P2" s="3" t="s">
        <v>72</v>
      </c>
      <c r="Q2" s="3" t="s">
        <v>72</v>
      </c>
      <c r="R2" s="3" t="s">
        <v>72</v>
      </c>
      <c r="S2" s="3" t="s">
        <v>72</v>
      </c>
      <c r="T2" s="3" t="s">
        <v>72</v>
      </c>
      <c r="U2" s="3" t="s">
        <v>72</v>
      </c>
      <c r="V2" s="3" t="s">
        <v>72</v>
      </c>
      <c r="W2" s="3" t="s">
        <v>72</v>
      </c>
      <c r="X2" s="3" t="s">
        <v>72</v>
      </c>
      <c r="Y2" s="3" t="s">
        <v>72</v>
      </c>
      <c r="Z2" s="3" t="s">
        <v>72</v>
      </c>
      <c r="AA2" s="3" t="s">
        <v>72</v>
      </c>
      <c r="AB2" s="3" t="s">
        <v>72</v>
      </c>
      <c r="AC2" s="3" t="s">
        <v>72</v>
      </c>
      <c r="AD2" s="3" t="s">
        <v>72</v>
      </c>
      <c r="AE2" s="3" t="s">
        <v>72</v>
      </c>
      <c r="AF2" s="3" t="s">
        <v>72</v>
      </c>
      <c r="AG2" s="3" t="s">
        <v>72</v>
      </c>
      <c r="AH2" s="3" t="s">
        <v>72</v>
      </c>
      <c r="AI2" s="3" t="s">
        <v>72</v>
      </c>
      <c r="AJ2" s="3" t="s">
        <v>72</v>
      </c>
      <c r="AK2" s="3" t="s">
        <v>72</v>
      </c>
      <c r="AL2" s="3" t="s">
        <v>72</v>
      </c>
    </row>
    <row r="4" customFormat="false" ht="15" hidden="false" customHeight="true" outlineLevel="0" collapsed="false">
      <c r="A4" s="31" t="s">
        <v>73</v>
      </c>
      <c r="B4" s="31" t="s">
        <v>73</v>
      </c>
      <c r="C4" s="31" t="s">
        <v>73</v>
      </c>
      <c r="D4" s="31" t="s">
        <v>73</v>
      </c>
      <c r="E4" s="31" t="s">
        <v>73</v>
      </c>
      <c r="F4" s="31" t="s">
        <v>73</v>
      </c>
      <c r="G4" s="31" t="s">
        <v>73</v>
      </c>
      <c r="H4" s="31" t="s">
        <v>73</v>
      </c>
      <c r="I4" s="31" t="s">
        <v>73</v>
      </c>
      <c r="J4" s="31" t="s">
        <v>73</v>
      </c>
      <c r="K4" s="31" t="s">
        <v>73</v>
      </c>
      <c r="L4" s="31" t="s">
        <v>73</v>
      </c>
      <c r="M4" s="31" t="s">
        <v>73</v>
      </c>
      <c r="N4" s="31" t="s">
        <v>73</v>
      </c>
      <c r="O4" s="31" t="s">
        <v>73</v>
      </c>
      <c r="P4" s="31" t="s">
        <v>73</v>
      </c>
      <c r="Q4" s="31" t="s">
        <v>73</v>
      </c>
      <c r="R4" s="31" t="s">
        <v>73</v>
      </c>
      <c r="S4" s="31" t="s">
        <v>73</v>
      </c>
      <c r="T4" s="31" t="s">
        <v>73</v>
      </c>
      <c r="U4" s="31" t="s">
        <v>73</v>
      </c>
      <c r="V4" s="31" t="s">
        <v>73</v>
      </c>
      <c r="W4" s="31" t="s">
        <v>73</v>
      </c>
      <c r="X4" s="31" t="s">
        <v>73</v>
      </c>
      <c r="Y4" s="31" t="s">
        <v>73</v>
      </c>
      <c r="Z4" s="31" t="s">
        <v>73</v>
      </c>
      <c r="AA4" s="31" t="s">
        <v>73</v>
      </c>
      <c r="AB4" s="31" t="s">
        <v>73</v>
      </c>
      <c r="AC4" s="31" t="s">
        <v>73</v>
      </c>
      <c r="AD4" s="31" t="s">
        <v>73</v>
      </c>
      <c r="AE4" s="31" t="s">
        <v>73</v>
      </c>
      <c r="AF4" s="31" t="s">
        <v>73</v>
      </c>
      <c r="AG4" s="31" t="s">
        <v>73</v>
      </c>
      <c r="AH4" s="31" t="s">
        <v>73</v>
      </c>
      <c r="AI4" s="31" t="s">
        <v>73</v>
      </c>
      <c r="AJ4" s="31" t="s">
        <v>73</v>
      </c>
      <c r="AK4" s="31" t="s">
        <v>73</v>
      </c>
      <c r="AL4" s="31" t="s">
        <v>73</v>
      </c>
    </row>
    <row r="5" customFormat="false" ht="34" hidden="false" customHeight="true" outlineLevel="0" collapsed="false">
      <c r="A5" s="32" t="s">
        <v>74</v>
      </c>
      <c r="B5" s="33" t="s">
        <v>75</v>
      </c>
      <c r="C5" s="33" t="s">
        <v>76</v>
      </c>
      <c r="D5" s="33" t="s">
        <v>77</v>
      </c>
      <c r="E5" s="33" t="s">
        <v>78</v>
      </c>
      <c r="F5" s="33" t="s">
        <v>79</v>
      </c>
      <c r="G5" s="33" t="s">
        <v>80</v>
      </c>
      <c r="H5" s="33" t="s">
        <v>81</v>
      </c>
      <c r="I5" s="33" t="s">
        <v>82</v>
      </c>
      <c r="J5" s="33" t="s">
        <v>83</v>
      </c>
      <c r="K5" s="33" t="s">
        <v>84</v>
      </c>
      <c r="L5" s="33" t="s">
        <v>85</v>
      </c>
      <c r="M5" s="33" t="s">
        <v>86</v>
      </c>
      <c r="N5" s="33" t="s">
        <v>87</v>
      </c>
      <c r="O5" s="33" t="s">
        <v>88</v>
      </c>
      <c r="P5" s="33" t="s">
        <v>89</v>
      </c>
      <c r="Q5" s="33" t="s">
        <v>90</v>
      </c>
      <c r="R5" s="33" t="s">
        <v>91</v>
      </c>
      <c r="S5" s="33" t="s">
        <v>92</v>
      </c>
      <c r="T5" s="33" t="s">
        <v>93</v>
      </c>
      <c r="U5" s="33" t="s">
        <v>94</v>
      </c>
      <c r="V5" s="33" t="s">
        <v>95</v>
      </c>
      <c r="W5" s="33" t="s">
        <v>96</v>
      </c>
      <c r="X5" s="33" t="s">
        <v>9</v>
      </c>
      <c r="Y5" s="33" t="s">
        <v>97</v>
      </c>
      <c r="Z5" s="33" t="s">
        <v>98</v>
      </c>
      <c r="AA5" s="33" t="s">
        <v>99</v>
      </c>
      <c r="AB5" s="33" t="s">
        <v>100</v>
      </c>
      <c r="AC5" s="33" t="s">
        <v>101</v>
      </c>
      <c r="AD5" s="33" t="s">
        <v>102</v>
      </c>
      <c r="AE5" s="33" t="s">
        <v>103</v>
      </c>
      <c r="AF5" s="33" t="s">
        <v>104</v>
      </c>
      <c r="AG5" s="33" t="s">
        <v>105</v>
      </c>
      <c r="AH5" s="33" t="s">
        <v>106</v>
      </c>
      <c r="AI5" s="33" t="s">
        <v>37</v>
      </c>
      <c r="AJ5" s="33" t="s">
        <v>107</v>
      </c>
      <c r="AK5" s="33" t="s">
        <v>108</v>
      </c>
      <c r="AL5" s="34" t="s">
        <v>109</v>
      </c>
    </row>
    <row r="6" customFormat="false" ht="15" hidden="false" customHeight="false" outlineLevel="0" collapsed="false">
      <c r="A6" s="35"/>
      <c r="B6" s="36"/>
      <c r="C6" s="35"/>
      <c r="D6" s="35"/>
      <c r="E6" s="35"/>
      <c r="F6" s="35"/>
      <c r="G6" s="35"/>
      <c r="H6" s="35"/>
      <c r="I6" s="35"/>
      <c r="J6" s="35"/>
      <c r="K6" s="35"/>
      <c r="L6" s="37"/>
      <c r="M6" s="38"/>
      <c r="N6" s="38"/>
      <c r="O6" s="38"/>
      <c r="P6" s="38"/>
      <c r="Q6" s="38"/>
      <c r="R6" s="39"/>
      <c r="S6" s="40" t="str">
        <f aca="false">IF(E6="","",IFERROR(VLOOKUP(E6,Lists!$A$5:$C$8,2,FALSE()),""))</f>
        <v/>
      </c>
      <c r="T6" s="40" t="str">
        <f aca="false">IF(E6="","",IFERROR(VLOOKUP(E6,Lists!$A$5:$C$8,3,FALSE()),""))</f>
        <v/>
      </c>
      <c r="U6" s="41"/>
      <c r="V6" s="41"/>
      <c r="W6" s="42" t="str">
        <f aca="false">IF(OR(M6="",Q6="",R6="",S6="",T6=""),"",IF(H6="Long",(Q6-M6)/S6*T6*R6,IF(H6="Short",(M6-Q6)/S6*T6*R6,"")))</f>
        <v/>
      </c>
      <c r="X6" s="42" t="str">
        <f aca="false">IF(W6="","",W6-U6-V6)</f>
        <v/>
      </c>
      <c r="Y6" s="42" t="str">
        <f aca="false">IF(OR(M6="",N6="",R6="",S6="",T6=""),"",ABS(M6-N6)/S6*T6*R6+U6+V6)</f>
        <v/>
      </c>
      <c r="Z6" s="43" t="str">
        <f aca="false">IF(OR(X6="",Y6="",Y6=0),"",X6/Y6)</f>
        <v/>
      </c>
      <c r="AA6" s="41"/>
      <c r="AB6" s="41"/>
      <c r="AC6" s="35"/>
      <c r="AD6" s="35"/>
      <c r="AE6" s="35"/>
      <c r="AF6" s="35"/>
      <c r="AG6" s="35"/>
      <c r="AH6" s="35"/>
      <c r="AI6" s="35"/>
      <c r="AJ6" s="43" t="str">
        <f aca="false">IF(B6="","",SUM($Z$6:Z6))</f>
        <v/>
      </c>
      <c r="AK6" s="43" t="str">
        <f aca="false">IF(AJ6="","",MAX($AJ$6:AJ6))</f>
        <v/>
      </c>
      <c r="AL6" s="43" t="str">
        <f aca="false">IF(AJ6="","",AJ6-AK6)</f>
        <v/>
      </c>
    </row>
    <row r="7" customFormat="false" ht="15" hidden="false" customHeight="false" outlineLevel="0" collapsed="false">
      <c r="A7" s="44"/>
      <c r="B7" s="45"/>
      <c r="C7" s="44"/>
      <c r="D7" s="44"/>
      <c r="E7" s="44"/>
      <c r="F7" s="44"/>
      <c r="G7" s="44"/>
      <c r="H7" s="44"/>
      <c r="I7" s="44"/>
      <c r="J7" s="44"/>
      <c r="K7" s="44"/>
      <c r="L7" s="46"/>
      <c r="M7" s="47"/>
      <c r="N7" s="47"/>
      <c r="O7" s="47"/>
      <c r="P7" s="47"/>
      <c r="Q7" s="47"/>
      <c r="R7" s="48"/>
      <c r="S7" s="49" t="str">
        <f aca="false">IF(E7="","",IFERROR(VLOOKUP(E7,Lists!$A$5:$C$8,2,FALSE()),""))</f>
        <v/>
      </c>
      <c r="T7" s="49" t="str">
        <f aca="false">IF(E7="","",IFERROR(VLOOKUP(E7,Lists!$A$5:$C$8,3,FALSE()),""))</f>
        <v/>
      </c>
      <c r="U7" s="50"/>
      <c r="V7" s="50"/>
      <c r="W7" s="51" t="str">
        <f aca="false">IF(OR(M7="",Q7="",R7="",S7="",T7=""),"",IF(H7="Long",(Q7-M7)/S7*T7*R7,IF(H7="Short",(M7-Q7)/S7*T7*R7,"")))</f>
        <v/>
      </c>
      <c r="X7" s="51" t="str">
        <f aca="false">IF(W7="","",W7-U7-V7)</f>
        <v/>
      </c>
      <c r="Y7" s="51" t="str">
        <f aca="false">IF(OR(M7="",N7="",R7="",S7="",T7=""),"",ABS(M7-N7)/S7*T7*R7+U7+V7)</f>
        <v/>
      </c>
      <c r="Z7" s="52" t="str">
        <f aca="false">IF(OR(X7="",Y7="",Y7=0),"",X7/Y7)</f>
        <v/>
      </c>
      <c r="AA7" s="50"/>
      <c r="AB7" s="50"/>
      <c r="AC7" s="44"/>
      <c r="AD7" s="44"/>
      <c r="AE7" s="44"/>
      <c r="AF7" s="44"/>
      <c r="AG7" s="44"/>
      <c r="AH7" s="44"/>
      <c r="AI7" s="44"/>
      <c r="AJ7" s="52" t="str">
        <f aca="false">IF(B7="","",SUM($Z$6:Z7))</f>
        <v/>
      </c>
      <c r="AK7" s="52" t="str">
        <f aca="false">IF(AJ7="","",MAX($AJ$6:AJ7))</f>
        <v/>
      </c>
      <c r="AL7" s="52" t="str">
        <f aca="false">IF(AJ7="","",AJ7-AK7)</f>
        <v/>
      </c>
    </row>
    <row r="8" customFormat="false" ht="15" hidden="false" customHeight="false" outlineLevel="0" collapsed="false">
      <c r="A8" s="44"/>
      <c r="B8" s="45"/>
      <c r="C8" s="44"/>
      <c r="D8" s="44"/>
      <c r="E8" s="44"/>
      <c r="F8" s="44"/>
      <c r="G8" s="44"/>
      <c r="H8" s="44"/>
      <c r="I8" s="44"/>
      <c r="J8" s="44"/>
      <c r="K8" s="44"/>
      <c r="L8" s="46"/>
      <c r="M8" s="47"/>
      <c r="N8" s="47"/>
      <c r="O8" s="47"/>
      <c r="P8" s="47"/>
      <c r="Q8" s="47"/>
      <c r="R8" s="48"/>
      <c r="S8" s="49" t="str">
        <f aca="false">IF(E8="","",IFERROR(VLOOKUP(E8,Lists!$A$5:$C$8,2,FALSE()),""))</f>
        <v/>
      </c>
      <c r="T8" s="49" t="str">
        <f aca="false">IF(E8="","",IFERROR(VLOOKUP(E8,Lists!$A$5:$C$8,3,FALSE()),""))</f>
        <v/>
      </c>
      <c r="U8" s="50"/>
      <c r="V8" s="50"/>
      <c r="W8" s="51" t="str">
        <f aca="false">IF(OR(M8="",Q8="",R8="",S8="",T8=""),"",IF(H8="Long",(Q8-M8)/S8*T8*R8,IF(H8="Short",(M8-Q8)/S8*T8*R8,"")))</f>
        <v/>
      </c>
      <c r="X8" s="51" t="str">
        <f aca="false">IF(W8="","",W8-U8-V8)</f>
        <v/>
      </c>
      <c r="Y8" s="51" t="str">
        <f aca="false">IF(OR(M8="",N8="",R8="",S8="",T8=""),"",ABS(M8-N8)/S8*T8*R8+U8+V8)</f>
        <v/>
      </c>
      <c r="Z8" s="52" t="str">
        <f aca="false">IF(OR(X8="",Y8="",Y8=0),"",X8/Y8)</f>
        <v/>
      </c>
      <c r="AA8" s="50"/>
      <c r="AB8" s="50"/>
      <c r="AC8" s="44"/>
      <c r="AD8" s="44"/>
      <c r="AE8" s="44"/>
      <c r="AF8" s="44"/>
      <c r="AG8" s="44"/>
      <c r="AH8" s="44"/>
      <c r="AI8" s="44"/>
      <c r="AJ8" s="52" t="str">
        <f aca="false">IF(B8="","",SUM($Z$6:Z8))</f>
        <v/>
      </c>
      <c r="AK8" s="52" t="str">
        <f aca="false">IF(AJ8="","",MAX($AJ$6:AJ8))</f>
        <v/>
      </c>
      <c r="AL8" s="52" t="str">
        <f aca="false">IF(AJ8="","",AJ8-AK8)</f>
        <v/>
      </c>
    </row>
    <row r="9" customFormat="false" ht="15" hidden="false" customHeight="false" outlineLevel="0" collapsed="false">
      <c r="A9" s="44"/>
      <c r="B9" s="45"/>
      <c r="C9" s="44"/>
      <c r="D9" s="44"/>
      <c r="E9" s="44"/>
      <c r="F9" s="44"/>
      <c r="G9" s="44"/>
      <c r="H9" s="44"/>
      <c r="I9" s="44"/>
      <c r="J9" s="44"/>
      <c r="K9" s="44"/>
      <c r="L9" s="46"/>
      <c r="M9" s="47"/>
      <c r="N9" s="47"/>
      <c r="O9" s="47"/>
      <c r="P9" s="47"/>
      <c r="Q9" s="47"/>
      <c r="R9" s="48"/>
      <c r="S9" s="49" t="str">
        <f aca="false">IF(E9="","",IFERROR(VLOOKUP(E9,Lists!$A$5:$C$8,2,FALSE()),""))</f>
        <v/>
      </c>
      <c r="T9" s="49" t="str">
        <f aca="false">IF(E9="","",IFERROR(VLOOKUP(E9,Lists!$A$5:$C$8,3,FALSE()),""))</f>
        <v/>
      </c>
      <c r="U9" s="50"/>
      <c r="V9" s="50"/>
      <c r="W9" s="51" t="str">
        <f aca="false">IF(OR(M9="",Q9="",R9="",S9="",T9=""),"",IF(H9="Long",(Q9-M9)/S9*T9*R9,IF(H9="Short",(M9-Q9)/S9*T9*R9,"")))</f>
        <v/>
      </c>
      <c r="X9" s="51" t="str">
        <f aca="false">IF(W9="","",W9-U9-V9)</f>
        <v/>
      </c>
      <c r="Y9" s="51" t="str">
        <f aca="false">IF(OR(M9="",N9="",R9="",S9="",T9=""),"",ABS(M9-N9)/S9*T9*R9+U9+V9)</f>
        <v/>
      </c>
      <c r="Z9" s="52" t="str">
        <f aca="false">IF(OR(X9="",Y9="",Y9=0),"",X9/Y9)</f>
        <v/>
      </c>
      <c r="AA9" s="50"/>
      <c r="AB9" s="50"/>
      <c r="AC9" s="44"/>
      <c r="AD9" s="44"/>
      <c r="AE9" s="44"/>
      <c r="AF9" s="44"/>
      <c r="AG9" s="44"/>
      <c r="AH9" s="44"/>
      <c r="AI9" s="44"/>
      <c r="AJ9" s="52" t="str">
        <f aca="false">IF(B9="","",SUM($Z$6:Z9))</f>
        <v/>
      </c>
      <c r="AK9" s="52" t="str">
        <f aca="false">IF(AJ9="","",MAX($AJ$6:AJ9))</f>
        <v/>
      </c>
      <c r="AL9" s="52" t="str">
        <f aca="false">IF(AJ9="","",AJ9-AK9)</f>
        <v/>
      </c>
    </row>
    <row r="10" customFormat="false" ht="15" hidden="false" customHeight="false" outlineLevel="0" collapsed="false">
      <c r="A10" s="44"/>
      <c r="B10" s="45"/>
      <c r="C10" s="44"/>
      <c r="D10" s="44"/>
      <c r="E10" s="44"/>
      <c r="F10" s="44"/>
      <c r="G10" s="44"/>
      <c r="H10" s="44"/>
      <c r="I10" s="44"/>
      <c r="J10" s="44"/>
      <c r="K10" s="44"/>
      <c r="L10" s="46"/>
      <c r="M10" s="47"/>
      <c r="N10" s="47"/>
      <c r="O10" s="47"/>
      <c r="P10" s="47"/>
      <c r="Q10" s="47"/>
      <c r="R10" s="48"/>
      <c r="S10" s="49" t="str">
        <f aca="false">IF(E10="","",IFERROR(VLOOKUP(E10,Lists!$A$5:$C$8,2,FALSE()),""))</f>
        <v/>
      </c>
      <c r="T10" s="49" t="str">
        <f aca="false">IF(E10="","",IFERROR(VLOOKUP(E10,Lists!$A$5:$C$8,3,FALSE()),""))</f>
        <v/>
      </c>
      <c r="U10" s="50"/>
      <c r="V10" s="50"/>
      <c r="W10" s="51" t="str">
        <f aca="false">IF(OR(M10="",Q10="",R10="",S10="",T10=""),"",IF(H10="Long",(Q10-M10)/S10*T10*R10,IF(H10="Short",(M10-Q10)/S10*T10*R10,"")))</f>
        <v/>
      </c>
      <c r="X10" s="51" t="str">
        <f aca="false">IF(W10="","",W10-U10-V10)</f>
        <v/>
      </c>
      <c r="Y10" s="51" t="str">
        <f aca="false">IF(OR(M10="",N10="",R10="",S10="",T10=""),"",ABS(M10-N10)/S10*T10*R10+U10+V10)</f>
        <v/>
      </c>
      <c r="Z10" s="52" t="str">
        <f aca="false">IF(OR(X10="",Y10="",Y10=0),"",X10/Y10)</f>
        <v/>
      </c>
      <c r="AA10" s="50"/>
      <c r="AB10" s="50"/>
      <c r="AC10" s="44"/>
      <c r="AD10" s="44"/>
      <c r="AE10" s="44"/>
      <c r="AF10" s="44"/>
      <c r="AG10" s="44"/>
      <c r="AH10" s="44"/>
      <c r="AI10" s="44"/>
      <c r="AJ10" s="52" t="str">
        <f aca="false">IF(B10="","",SUM($Z$6:Z10))</f>
        <v/>
      </c>
      <c r="AK10" s="52" t="str">
        <f aca="false">IF(AJ10="","",MAX($AJ$6:AJ10))</f>
        <v/>
      </c>
      <c r="AL10" s="52" t="str">
        <f aca="false">IF(AJ10="","",AJ10-AK10)</f>
        <v/>
      </c>
    </row>
    <row r="11" customFormat="false" ht="15" hidden="false" customHeight="false" outlineLevel="0" collapsed="false">
      <c r="A11" s="44"/>
      <c r="B11" s="45"/>
      <c r="C11" s="44"/>
      <c r="D11" s="44"/>
      <c r="E11" s="44"/>
      <c r="F11" s="44"/>
      <c r="G11" s="44"/>
      <c r="H11" s="44"/>
      <c r="I11" s="44"/>
      <c r="J11" s="44"/>
      <c r="K11" s="44"/>
      <c r="L11" s="46"/>
      <c r="M11" s="47"/>
      <c r="N11" s="47"/>
      <c r="O11" s="47"/>
      <c r="P11" s="47"/>
      <c r="Q11" s="47"/>
      <c r="R11" s="48"/>
      <c r="S11" s="49" t="str">
        <f aca="false">IF(E11="","",IFERROR(VLOOKUP(E11,Lists!$A$5:$C$8,2,FALSE()),""))</f>
        <v/>
      </c>
      <c r="T11" s="49" t="str">
        <f aca="false">IF(E11="","",IFERROR(VLOOKUP(E11,Lists!$A$5:$C$8,3,FALSE()),""))</f>
        <v/>
      </c>
      <c r="U11" s="50"/>
      <c r="V11" s="50"/>
      <c r="W11" s="51" t="str">
        <f aca="false">IF(OR(M11="",Q11="",R11="",S11="",T11=""),"",IF(H11="Long",(Q11-M11)/S11*T11*R11,IF(H11="Short",(M11-Q11)/S11*T11*R11,"")))</f>
        <v/>
      </c>
      <c r="X11" s="51" t="str">
        <f aca="false">IF(W11="","",W11-U11-V11)</f>
        <v/>
      </c>
      <c r="Y11" s="51" t="str">
        <f aca="false">IF(OR(M11="",N11="",R11="",S11="",T11=""),"",ABS(M11-N11)/S11*T11*R11+U11+V11)</f>
        <v/>
      </c>
      <c r="Z11" s="52" t="str">
        <f aca="false">IF(OR(X11="",Y11="",Y11=0),"",X11/Y11)</f>
        <v/>
      </c>
      <c r="AA11" s="50"/>
      <c r="AB11" s="50"/>
      <c r="AC11" s="44"/>
      <c r="AD11" s="44"/>
      <c r="AE11" s="44"/>
      <c r="AF11" s="44"/>
      <c r="AG11" s="44"/>
      <c r="AH11" s="44"/>
      <c r="AI11" s="44"/>
      <c r="AJ11" s="52" t="str">
        <f aca="false">IF(B11="","",SUM($Z$6:Z11))</f>
        <v/>
      </c>
      <c r="AK11" s="52" t="str">
        <f aca="false">IF(AJ11="","",MAX($AJ$6:AJ11))</f>
        <v/>
      </c>
      <c r="AL11" s="52" t="str">
        <f aca="false">IF(AJ11="","",AJ11-AK11)</f>
        <v/>
      </c>
    </row>
    <row r="12" customFormat="false" ht="15" hidden="false" customHeight="false" outlineLevel="0" collapsed="false">
      <c r="A12" s="44"/>
      <c r="B12" s="45"/>
      <c r="C12" s="44"/>
      <c r="D12" s="44"/>
      <c r="E12" s="44"/>
      <c r="F12" s="44"/>
      <c r="G12" s="44"/>
      <c r="H12" s="44"/>
      <c r="I12" s="44"/>
      <c r="J12" s="44"/>
      <c r="K12" s="44"/>
      <c r="L12" s="46"/>
      <c r="M12" s="47"/>
      <c r="N12" s="47"/>
      <c r="O12" s="47"/>
      <c r="P12" s="47"/>
      <c r="Q12" s="47"/>
      <c r="R12" s="48"/>
      <c r="S12" s="49" t="str">
        <f aca="false">IF(E12="","",IFERROR(VLOOKUP(E12,Lists!$A$5:$C$8,2,FALSE()),""))</f>
        <v/>
      </c>
      <c r="T12" s="49" t="str">
        <f aca="false">IF(E12="","",IFERROR(VLOOKUP(E12,Lists!$A$5:$C$8,3,FALSE()),""))</f>
        <v/>
      </c>
      <c r="U12" s="50"/>
      <c r="V12" s="50"/>
      <c r="W12" s="51" t="str">
        <f aca="false">IF(OR(M12="",Q12="",R12="",S12="",T12=""),"",IF(H12="Long",(Q12-M12)/S12*T12*R12,IF(H12="Short",(M12-Q12)/S12*T12*R12,"")))</f>
        <v/>
      </c>
      <c r="X12" s="51" t="str">
        <f aca="false">IF(W12="","",W12-U12-V12)</f>
        <v/>
      </c>
      <c r="Y12" s="51" t="str">
        <f aca="false">IF(OR(M12="",N12="",R12="",S12="",T12=""),"",ABS(M12-N12)/S12*T12*R12+U12+V12)</f>
        <v/>
      </c>
      <c r="Z12" s="52" t="str">
        <f aca="false">IF(OR(X12="",Y12="",Y12=0),"",X12/Y12)</f>
        <v/>
      </c>
      <c r="AA12" s="50"/>
      <c r="AB12" s="50"/>
      <c r="AC12" s="44"/>
      <c r="AD12" s="44"/>
      <c r="AE12" s="44"/>
      <c r="AF12" s="44"/>
      <c r="AG12" s="44"/>
      <c r="AH12" s="44"/>
      <c r="AI12" s="44"/>
      <c r="AJ12" s="52" t="str">
        <f aca="false">IF(B12="","",SUM($Z$6:Z12))</f>
        <v/>
      </c>
      <c r="AK12" s="52" t="str">
        <f aca="false">IF(AJ12="","",MAX($AJ$6:AJ12))</f>
        <v/>
      </c>
      <c r="AL12" s="52" t="str">
        <f aca="false">IF(AJ12="","",AJ12-AK12)</f>
        <v/>
      </c>
    </row>
    <row r="13" customFormat="false" ht="15" hidden="false" customHeight="false" outlineLevel="0" collapsed="false">
      <c r="A13" s="44"/>
      <c r="B13" s="45"/>
      <c r="C13" s="44"/>
      <c r="D13" s="44"/>
      <c r="E13" s="44"/>
      <c r="F13" s="44"/>
      <c r="G13" s="44"/>
      <c r="H13" s="44"/>
      <c r="I13" s="44"/>
      <c r="J13" s="44"/>
      <c r="K13" s="44"/>
      <c r="L13" s="46"/>
      <c r="M13" s="47"/>
      <c r="N13" s="47"/>
      <c r="O13" s="47"/>
      <c r="P13" s="47"/>
      <c r="Q13" s="47"/>
      <c r="R13" s="48"/>
      <c r="S13" s="49" t="str">
        <f aca="false">IF(E13="","",IFERROR(VLOOKUP(E13,Lists!$A$5:$C$8,2,FALSE()),""))</f>
        <v/>
      </c>
      <c r="T13" s="49" t="str">
        <f aca="false">IF(E13="","",IFERROR(VLOOKUP(E13,Lists!$A$5:$C$8,3,FALSE()),""))</f>
        <v/>
      </c>
      <c r="U13" s="50"/>
      <c r="V13" s="50"/>
      <c r="W13" s="51" t="str">
        <f aca="false">IF(OR(M13="",Q13="",R13="",S13="",T13=""),"",IF(H13="Long",(Q13-M13)/S13*T13*R13,IF(H13="Short",(M13-Q13)/S13*T13*R13,"")))</f>
        <v/>
      </c>
      <c r="X13" s="51" t="str">
        <f aca="false">IF(W13="","",W13-U13-V13)</f>
        <v/>
      </c>
      <c r="Y13" s="51" t="str">
        <f aca="false">IF(OR(M13="",N13="",R13="",S13="",T13=""),"",ABS(M13-N13)/S13*T13*R13+U13+V13)</f>
        <v/>
      </c>
      <c r="Z13" s="52" t="str">
        <f aca="false">IF(OR(X13="",Y13="",Y13=0),"",X13/Y13)</f>
        <v/>
      </c>
      <c r="AA13" s="50"/>
      <c r="AB13" s="50"/>
      <c r="AC13" s="44"/>
      <c r="AD13" s="44"/>
      <c r="AE13" s="44"/>
      <c r="AF13" s="44"/>
      <c r="AG13" s="44"/>
      <c r="AH13" s="44"/>
      <c r="AI13" s="44"/>
      <c r="AJ13" s="52" t="str">
        <f aca="false">IF(B13="","",SUM($Z$6:Z13))</f>
        <v/>
      </c>
      <c r="AK13" s="52" t="str">
        <f aca="false">IF(AJ13="","",MAX($AJ$6:AJ13))</f>
        <v/>
      </c>
      <c r="AL13" s="52" t="str">
        <f aca="false">IF(AJ13="","",AJ13-AK13)</f>
        <v/>
      </c>
    </row>
    <row r="14" customFormat="false" ht="15" hidden="false" customHeight="false" outlineLevel="0" collapsed="false">
      <c r="A14" s="44"/>
      <c r="B14" s="45"/>
      <c r="C14" s="44"/>
      <c r="D14" s="44"/>
      <c r="E14" s="44"/>
      <c r="F14" s="44"/>
      <c r="G14" s="44"/>
      <c r="H14" s="44"/>
      <c r="I14" s="44"/>
      <c r="J14" s="44"/>
      <c r="K14" s="44"/>
      <c r="L14" s="46"/>
      <c r="M14" s="47"/>
      <c r="N14" s="47"/>
      <c r="O14" s="47"/>
      <c r="P14" s="47"/>
      <c r="Q14" s="47"/>
      <c r="R14" s="48"/>
      <c r="S14" s="49" t="str">
        <f aca="false">IF(E14="","",IFERROR(VLOOKUP(E14,Lists!$A$5:$C$8,2,FALSE()),""))</f>
        <v/>
      </c>
      <c r="T14" s="49" t="str">
        <f aca="false">IF(E14="","",IFERROR(VLOOKUP(E14,Lists!$A$5:$C$8,3,FALSE()),""))</f>
        <v/>
      </c>
      <c r="U14" s="50"/>
      <c r="V14" s="50"/>
      <c r="W14" s="51" t="str">
        <f aca="false">IF(OR(M14="",Q14="",R14="",S14="",T14=""),"",IF(H14="Long",(Q14-M14)/S14*T14*R14,IF(H14="Short",(M14-Q14)/S14*T14*R14,"")))</f>
        <v/>
      </c>
      <c r="X14" s="51" t="str">
        <f aca="false">IF(W14="","",W14-U14-V14)</f>
        <v/>
      </c>
      <c r="Y14" s="51" t="str">
        <f aca="false">IF(OR(M14="",N14="",R14="",S14="",T14=""),"",ABS(M14-N14)/S14*T14*R14+U14+V14)</f>
        <v/>
      </c>
      <c r="Z14" s="52" t="str">
        <f aca="false">IF(OR(X14="",Y14="",Y14=0),"",X14/Y14)</f>
        <v/>
      </c>
      <c r="AA14" s="50"/>
      <c r="AB14" s="50"/>
      <c r="AC14" s="44"/>
      <c r="AD14" s="44"/>
      <c r="AE14" s="44"/>
      <c r="AF14" s="44"/>
      <c r="AG14" s="44"/>
      <c r="AH14" s="44"/>
      <c r="AI14" s="44"/>
      <c r="AJ14" s="52" t="str">
        <f aca="false">IF(B14="","",SUM($Z$6:Z14))</f>
        <v/>
      </c>
      <c r="AK14" s="52" t="str">
        <f aca="false">IF(AJ14="","",MAX($AJ$6:AJ14))</f>
        <v/>
      </c>
      <c r="AL14" s="52" t="str">
        <f aca="false">IF(AJ14="","",AJ14-AK14)</f>
        <v/>
      </c>
    </row>
    <row r="15" customFormat="false" ht="15" hidden="false" customHeight="false" outlineLevel="0" collapsed="false">
      <c r="A15" s="44"/>
      <c r="B15" s="45"/>
      <c r="C15" s="44"/>
      <c r="D15" s="44"/>
      <c r="E15" s="44"/>
      <c r="F15" s="44"/>
      <c r="G15" s="44"/>
      <c r="H15" s="44"/>
      <c r="I15" s="44"/>
      <c r="J15" s="44"/>
      <c r="K15" s="44"/>
      <c r="L15" s="46"/>
      <c r="M15" s="47"/>
      <c r="N15" s="47"/>
      <c r="O15" s="47"/>
      <c r="P15" s="47"/>
      <c r="Q15" s="47"/>
      <c r="R15" s="48"/>
      <c r="S15" s="49" t="str">
        <f aca="false">IF(E15="","",IFERROR(VLOOKUP(E15,Lists!$A$5:$C$8,2,FALSE()),""))</f>
        <v/>
      </c>
      <c r="T15" s="49" t="str">
        <f aca="false">IF(E15="","",IFERROR(VLOOKUP(E15,Lists!$A$5:$C$8,3,FALSE()),""))</f>
        <v/>
      </c>
      <c r="U15" s="50"/>
      <c r="V15" s="50"/>
      <c r="W15" s="51" t="str">
        <f aca="false">IF(OR(M15="",Q15="",R15="",S15="",T15=""),"",IF(H15="Long",(Q15-M15)/S15*T15*R15,IF(H15="Short",(M15-Q15)/S15*T15*R15,"")))</f>
        <v/>
      </c>
      <c r="X15" s="51" t="str">
        <f aca="false">IF(W15="","",W15-U15-V15)</f>
        <v/>
      </c>
      <c r="Y15" s="51" t="str">
        <f aca="false">IF(OR(M15="",N15="",R15="",S15="",T15=""),"",ABS(M15-N15)/S15*T15*R15+U15+V15)</f>
        <v/>
      </c>
      <c r="Z15" s="52" t="str">
        <f aca="false">IF(OR(X15="",Y15="",Y15=0),"",X15/Y15)</f>
        <v/>
      </c>
      <c r="AA15" s="50"/>
      <c r="AB15" s="50"/>
      <c r="AC15" s="44"/>
      <c r="AD15" s="44"/>
      <c r="AE15" s="44"/>
      <c r="AF15" s="44"/>
      <c r="AG15" s="44"/>
      <c r="AH15" s="44"/>
      <c r="AI15" s="44"/>
      <c r="AJ15" s="52" t="str">
        <f aca="false">IF(B15="","",SUM($Z$6:Z15))</f>
        <v/>
      </c>
      <c r="AK15" s="52" t="str">
        <f aca="false">IF(AJ15="","",MAX($AJ$6:AJ15))</f>
        <v/>
      </c>
      <c r="AL15" s="52" t="str">
        <f aca="false">IF(AJ15="","",AJ15-AK15)</f>
        <v/>
      </c>
    </row>
    <row r="16" customFormat="false" ht="15" hidden="false" customHeight="false" outlineLevel="0" collapsed="false">
      <c r="A16" s="44"/>
      <c r="B16" s="45"/>
      <c r="C16" s="44"/>
      <c r="D16" s="44"/>
      <c r="E16" s="44"/>
      <c r="F16" s="44"/>
      <c r="G16" s="44"/>
      <c r="H16" s="44"/>
      <c r="I16" s="44"/>
      <c r="J16" s="44"/>
      <c r="K16" s="44"/>
      <c r="L16" s="46"/>
      <c r="M16" s="47"/>
      <c r="N16" s="47"/>
      <c r="O16" s="47"/>
      <c r="P16" s="47"/>
      <c r="Q16" s="47"/>
      <c r="R16" s="48"/>
      <c r="S16" s="49" t="str">
        <f aca="false">IF(E16="","",IFERROR(VLOOKUP(E16,Lists!$A$5:$C$8,2,FALSE()),""))</f>
        <v/>
      </c>
      <c r="T16" s="49" t="str">
        <f aca="false">IF(E16="","",IFERROR(VLOOKUP(E16,Lists!$A$5:$C$8,3,FALSE()),""))</f>
        <v/>
      </c>
      <c r="U16" s="50"/>
      <c r="V16" s="50"/>
      <c r="W16" s="51" t="str">
        <f aca="false">IF(OR(M16="",Q16="",R16="",S16="",T16=""),"",IF(H16="Long",(Q16-M16)/S16*T16*R16,IF(H16="Short",(M16-Q16)/S16*T16*R16,"")))</f>
        <v/>
      </c>
      <c r="X16" s="51" t="str">
        <f aca="false">IF(W16="","",W16-U16-V16)</f>
        <v/>
      </c>
      <c r="Y16" s="51" t="str">
        <f aca="false">IF(OR(M16="",N16="",R16="",S16="",T16=""),"",ABS(M16-N16)/S16*T16*R16+U16+V16)</f>
        <v/>
      </c>
      <c r="Z16" s="52" t="str">
        <f aca="false">IF(OR(X16="",Y16="",Y16=0),"",X16/Y16)</f>
        <v/>
      </c>
      <c r="AA16" s="50"/>
      <c r="AB16" s="50"/>
      <c r="AC16" s="44"/>
      <c r="AD16" s="44"/>
      <c r="AE16" s="44"/>
      <c r="AF16" s="44"/>
      <c r="AG16" s="44"/>
      <c r="AH16" s="44"/>
      <c r="AI16" s="44"/>
      <c r="AJ16" s="52" t="str">
        <f aca="false">IF(B16="","",SUM($Z$6:Z16))</f>
        <v/>
      </c>
      <c r="AK16" s="52" t="str">
        <f aca="false">IF(AJ16="","",MAX($AJ$6:AJ16))</f>
        <v/>
      </c>
      <c r="AL16" s="52" t="str">
        <f aca="false">IF(AJ16="","",AJ16-AK16)</f>
        <v/>
      </c>
    </row>
    <row r="17" customFormat="false" ht="15" hidden="false" customHeight="false" outlineLevel="0" collapsed="false">
      <c r="A17" s="44"/>
      <c r="B17" s="45"/>
      <c r="C17" s="44"/>
      <c r="D17" s="44"/>
      <c r="E17" s="44"/>
      <c r="F17" s="44"/>
      <c r="G17" s="44"/>
      <c r="H17" s="44"/>
      <c r="I17" s="44"/>
      <c r="J17" s="44"/>
      <c r="K17" s="44"/>
      <c r="L17" s="46"/>
      <c r="M17" s="47"/>
      <c r="N17" s="47"/>
      <c r="O17" s="47"/>
      <c r="P17" s="47"/>
      <c r="Q17" s="47"/>
      <c r="R17" s="48"/>
      <c r="S17" s="49" t="str">
        <f aca="false">IF(E17="","",IFERROR(VLOOKUP(E17,Lists!$A$5:$C$8,2,FALSE()),""))</f>
        <v/>
      </c>
      <c r="T17" s="49" t="str">
        <f aca="false">IF(E17="","",IFERROR(VLOOKUP(E17,Lists!$A$5:$C$8,3,FALSE()),""))</f>
        <v/>
      </c>
      <c r="U17" s="50"/>
      <c r="V17" s="50"/>
      <c r="W17" s="51" t="str">
        <f aca="false">IF(OR(M17="",Q17="",R17="",S17="",T17=""),"",IF(H17="Long",(Q17-M17)/S17*T17*R17,IF(H17="Short",(M17-Q17)/S17*T17*R17,"")))</f>
        <v/>
      </c>
      <c r="X17" s="51" t="str">
        <f aca="false">IF(W17="","",W17-U17-V17)</f>
        <v/>
      </c>
      <c r="Y17" s="51" t="str">
        <f aca="false">IF(OR(M17="",N17="",R17="",S17="",T17=""),"",ABS(M17-N17)/S17*T17*R17+U17+V17)</f>
        <v/>
      </c>
      <c r="Z17" s="52" t="str">
        <f aca="false">IF(OR(X17="",Y17="",Y17=0),"",X17/Y17)</f>
        <v/>
      </c>
      <c r="AA17" s="50"/>
      <c r="AB17" s="50"/>
      <c r="AC17" s="44"/>
      <c r="AD17" s="44"/>
      <c r="AE17" s="44"/>
      <c r="AF17" s="44"/>
      <c r="AG17" s="44"/>
      <c r="AH17" s="44"/>
      <c r="AI17" s="44"/>
      <c r="AJ17" s="52" t="str">
        <f aca="false">IF(B17="","",SUM($Z$6:Z17))</f>
        <v/>
      </c>
      <c r="AK17" s="52" t="str">
        <f aca="false">IF(AJ17="","",MAX($AJ$6:AJ17))</f>
        <v/>
      </c>
      <c r="AL17" s="52" t="str">
        <f aca="false">IF(AJ17="","",AJ17-AK17)</f>
        <v/>
      </c>
    </row>
    <row r="18" customFormat="false" ht="15" hidden="false" customHeight="false" outlineLevel="0" collapsed="false">
      <c r="A18" s="44"/>
      <c r="B18" s="45"/>
      <c r="C18" s="44"/>
      <c r="D18" s="44"/>
      <c r="E18" s="44"/>
      <c r="F18" s="44"/>
      <c r="G18" s="44"/>
      <c r="H18" s="44"/>
      <c r="I18" s="44"/>
      <c r="J18" s="44"/>
      <c r="K18" s="44"/>
      <c r="L18" s="46"/>
      <c r="M18" s="47"/>
      <c r="N18" s="47"/>
      <c r="O18" s="47"/>
      <c r="P18" s="47"/>
      <c r="Q18" s="47"/>
      <c r="R18" s="48"/>
      <c r="S18" s="49" t="str">
        <f aca="false">IF(E18="","",IFERROR(VLOOKUP(E18,Lists!$A$5:$C$8,2,FALSE()),""))</f>
        <v/>
      </c>
      <c r="T18" s="49" t="str">
        <f aca="false">IF(E18="","",IFERROR(VLOOKUP(E18,Lists!$A$5:$C$8,3,FALSE()),""))</f>
        <v/>
      </c>
      <c r="U18" s="50"/>
      <c r="V18" s="50"/>
      <c r="W18" s="51" t="str">
        <f aca="false">IF(OR(M18="",Q18="",R18="",S18="",T18=""),"",IF(H18="Long",(Q18-M18)/S18*T18*R18,IF(H18="Short",(M18-Q18)/S18*T18*R18,"")))</f>
        <v/>
      </c>
      <c r="X18" s="51" t="str">
        <f aca="false">IF(W18="","",W18-U18-V18)</f>
        <v/>
      </c>
      <c r="Y18" s="51" t="str">
        <f aca="false">IF(OR(M18="",N18="",R18="",S18="",T18=""),"",ABS(M18-N18)/S18*T18*R18+U18+V18)</f>
        <v/>
      </c>
      <c r="Z18" s="52" t="str">
        <f aca="false">IF(OR(X18="",Y18="",Y18=0),"",X18/Y18)</f>
        <v/>
      </c>
      <c r="AA18" s="50"/>
      <c r="AB18" s="50"/>
      <c r="AC18" s="44"/>
      <c r="AD18" s="44"/>
      <c r="AE18" s="44"/>
      <c r="AF18" s="44"/>
      <c r="AG18" s="44"/>
      <c r="AH18" s="44"/>
      <c r="AI18" s="44"/>
      <c r="AJ18" s="52" t="str">
        <f aca="false">IF(B18="","",SUM($Z$6:Z18))</f>
        <v/>
      </c>
      <c r="AK18" s="52" t="str">
        <f aca="false">IF(AJ18="","",MAX($AJ$6:AJ18))</f>
        <v/>
      </c>
      <c r="AL18" s="52" t="str">
        <f aca="false">IF(AJ18="","",AJ18-AK18)</f>
        <v/>
      </c>
    </row>
    <row r="19" customFormat="false" ht="15" hidden="false" customHeight="false" outlineLevel="0" collapsed="false">
      <c r="A19" s="44"/>
      <c r="B19" s="45"/>
      <c r="C19" s="44"/>
      <c r="D19" s="44"/>
      <c r="E19" s="44"/>
      <c r="F19" s="44"/>
      <c r="G19" s="44"/>
      <c r="H19" s="44"/>
      <c r="I19" s="44"/>
      <c r="J19" s="44"/>
      <c r="K19" s="44"/>
      <c r="L19" s="46"/>
      <c r="M19" s="47"/>
      <c r="N19" s="47"/>
      <c r="O19" s="47"/>
      <c r="P19" s="47"/>
      <c r="Q19" s="47"/>
      <c r="R19" s="48"/>
      <c r="S19" s="49" t="str">
        <f aca="false">IF(E19="","",IFERROR(VLOOKUP(E19,Lists!$A$5:$C$8,2,FALSE()),""))</f>
        <v/>
      </c>
      <c r="T19" s="49" t="str">
        <f aca="false">IF(E19="","",IFERROR(VLOOKUP(E19,Lists!$A$5:$C$8,3,FALSE()),""))</f>
        <v/>
      </c>
      <c r="U19" s="50"/>
      <c r="V19" s="50"/>
      <c r="W19" s="51" t="str">
        <f aca="false">IF(OR(M19="",Q19="",R19="",S19="",T19=""),"",IF(H19="Long",(Q19-M19)/S19*T19*R19,IF(H19="Short",(M19-Q19)/S19*T19*R19,"")))</f>
        <v/>
      </c>
      <c r="X19" s="51" t="str">
        <f aca="false">IF(W19="","",W19-U19-V19)</f>
        <v/>
      </c>
      <c r="Y19" s="51" t="str">
        <f aca="false">IF(OR(M19="",N19="",R19="",S19="",T19=""),"",ABS(M19-N19)/S19*T19*R19+U19+V19)</f>
        <v/>
      </c>
      <c r="Z19" s="52" t="str">
        <f aca="false">IF(OR(X19="",Y19="",Y19=0),"",X19/Y19)</f>
        <v/>
      </c>
      <c r="AA19" s="50"/>
      <c r="AB19" s="50"/>
      <c r="AC19" s="44"/>
      <c r="AD19" s="44"/>
      <c r="AE19" s="44"/>
      <c r="AF19" s="44"/>
      <c r="AG19" s="44"/>
      <c r="AH19" s="44"/>
      <c r="AI19" s="44"/>
      <c r="AJ19" s="52" t="str">
        <f aca="false">IF(B19="","",SUM($Z$6:Z19))</f>
        <v/>
      </c>
      <c r="AK19" s="52" t="str">
        <f aca="false">IF(AJ19="","",MAX($AJ$6:AJ19))</f>
        <v/>
      </c>
      <c r="AL19" s="52" t="str">
        <f aca="false">IF(AJ19="","",AJ19-AK19)</f>
        <v/>
      </c>
    </row>
    <row r="20" customFormat="false" ht="15" hidden="false" customHeight="false" outlineLevel="0" collapsed="false">
      <c r="A20" s="44"/>
      <c r="B20" s="45"/>
      <c r="C20" s="44"/>
      <c r="D20" s="44"/>
      <c r="E20" s="44"/>
      <c r="F20" s="44"/>
      <c r="G20" s="44"/>
      <c r="H20" s="44"/>
      <c r="I20" s="44"/>
      <c r="J20" s="44"/>
      <c r="K20" s="44"/>
      <c r="L20" s="46"/>
      <c r="M20" s="47"/>
      <c r="N20" s="47"/>
      <c r="O20" s="47"/>
      <c r="P20" s="47"/>
      <c r="Q20" s="47"/>
      <c r="R20" s="48"/>
      <c r="S20" s="49" t="str">
        <f aca="false">IF(E20="","",IFERROR(VLOOKUP(E20,Lists!$A$5:$C$8,2,FALSE()),""))</f>
        <v/>
      </c>
      <c r="T20" s="49" t="str">
        <f aca="false">IF(E20="","",IFERROR(VLOOKUP(E20,Lists!$A$5:$C$8,3,FALSE()),""))</f>
        <v/>
      </c>
      <c r="U20" s="50"/>
      <c r="V20" s="50"/>
      <c r="W20" s="51" t="str">
        <f aca="false">IF(OR(M20="",Q20="",R20="",S20="",T20=""),"",IF(H20="Long",(Q20-M20)/S20*T20*R20,IF(H20="Short",(M20-Q20)/S20*T20*R20,"")))</f>
        <v/>
      </c>
      <c r="X20" s="51" t="str">
        <f aca="false">IF(W20="","",W20-U20-V20)</f>
        <v/>
      </c>
      <c r="Y20" s="51" t="str">
        <f aca="false">IF(OR(M20="",N20="",R20="",S20="",T20=""),"",ABS(M20-N20)/S20*T20*R20+U20+V20)</f>
        <v/>
      </c>
      <c r="Z20" s="52" t="str">
        <f aca="false">IF(OR(X20="",Y20="",Y20=0),"",X20/Y20)</f>
        <v/>
      </c>
      <c r="AA20" s="50"/>
      <c r="AB20" s="50"/>
      <c r="AC20" s="44"/>
      <c r="AD20" s="44"/>
      <c r="AE20" s="44"/>
      <c r="AF20" s="44"/>
      <c r="AG20" s="44"/>
      <c r="AH20" s="44"/>
      <c r="AI20" s="44"/>
      <c r="AJ20" s="52" t="str">
        <f aca="false">IF(B20="","",SUM($Z$6:Z20))</f>
        <v/>
      </c>
      <c r="AK20" s="52" t="str">
        <f aca="false">IF(AJ20="","",MAX($AJ$6:AJ20))</f>
        <v/>
      </c>
      <c r="AL20" s="52" t="str">
        <f aca="false">IF(AJ20="","",AJ20-AK20)</f>
        <v/>
      </c>
    </row>
    <row r="21" customFormat="false" ht="15" hidden="false" customHeight="false" outlineLevel="0" collapsed="false">
      <c r="A21" s="44"/>
      <c r="B21" s="45"/>
      <c r="C21" s="44"/>
      <c r="D21" s="44"/>
      <c r="E21" s="44"/>
      <c r="F21" s="44"/>
      <c r="G21" s="44"/>
      <c r="H21" s="44"/>
      <c r="I21" s="44"/>
      <c r="J21" s="44"/>
      <c r="K21" s="44"/>
      <c r="L21" s="46"/>
      <c r="M21" s="47"/>
      <c r="N21" s="47"/>
      <c r="O21" s="47"/>
      <c r="P21" s="47"/>
      <c r="Q21" s="47"/>
      <c r="R21" s="48"/>
      <c r="S21" s="49" t="str">
        <f aca="false">IF(E21="","",IFERROR(VLOOKUP(E21,Lists!$A$5:$C$8,2,FALSE()),""))</f>
        <v/>
      </c>
      <c r="T21" s="49" t="str">
        <f aca="false">IF(E21="","",IFERROR(VLOOKUP(E21,Lists!$A$5:$C$8,3,FALSE()),""))</f>
        <v/>
      </c>
      <c r="U21" s="50"/>
      <c r="V21" s="50"/>
      <c r="W21" s="51" t="str">
        <f aca="false">IF(OR(M21="",Q21="",R21="",S21="",T21=""),"",IF(H21="Long",(Q21-M21)/S21*T21*R21,IF(H21="Short",(M21-Q21)/S21*T21*R21,"")))</f>
        <v/>
      </c>
      <c r="X21" s="51" t="str">
        <f aca="false">IF(W21="","",W21-U21-V21)</f>
        <v/>
      </c>
      <c r="Y21" s="51" t="str">
        <f aca="false">IF(OR(M21="",N21="",R21="",S21="",T21=""),"",ABS(M21-N21)/S21*T21*R21+U21+V21)</f>
        <v/>
      </c>
      <c r="Z21" s="52" t="str">
        <f aca="false">IF(OR(X21="",Y21="",Y21=0),"",X21/Y21)</f>
        <v/>
      </c>
      <c r="AA21" s="50"/>
      <c r="AB21" s="50"/>
      <c r="AC21" s="44"/>
      <c r="AD21" s="44"/>
      <c r="AE21" s="44"/>
      <c r="AF21" s="44"/>
      <c r="AG21" s="44"/>
      <c r="AH21" s="44"/>
      <c r="AI21" s="44"/>
      <c r="AJ21" s="52" t="str">
        <f aca="false">IF(B21="","",SUM($Z$6:Z21))</f>
        <v/>
      </c>
      <c r="AK21" s="52" t="str">
        <f aca="false">IF(AJ21="","",MAX($AJ$6:AJ21))</f>
        <v/>
      </c>
      <c r="AL21" s="52" t="str">
        <f aca="false">IF(AJ21="","",AJ21-AK21)</f>
        <v/>
      </c>
    </row>
    <row r="22" customFormat="false" ht="15" hidden="false" customHeight="false" outlineLevel="0" collapsed="false">
      <c r="A22" s="44"/>
      <c r="B22" s="45"/>
      <c r="C22" s="44"/>
      <c r="D22" s="44"/>
      <c r="E22" s="44"/>
      <c r="F22" s="44"/>
      <c r="G22" s="44"/>
      <c r="H22" s="44"/>
      <c r="I22" s="44"/>
      <c r="J22" s="44"/>
      <c r="K22" s="44"/>
      <c r="L22" s="46"/>
      <c r="M22" s="47"/>
      <c r="N22" s="47"/>
      <c r="O22" s="47"/>
      <c r="P22" s="47"/>
      <c r="Q22" s="47"/>
      <c r="R22" s="48"/>
      <c r="S22" s="49" t="str">
        <f aca="false">IF(E22="","",IFERROR(VLOOKUP(E22,Lists!$A$5:$C$8,2,FALSE()),""))</f>
        <v/>
      </c>
      <c r="T22" s="49" t="str">
        <f aca="false">IF(E22="","",IFERROR(VLOOKUP(E22,Lists!$A$5:$C$8,3,FALSE()),""))</f>
        <v/>
      </c>
      <c r="U22" s="50"/>
      <c r="V22" s="50"/>
      <c r="W22" s="51" t="str">
        <f aca="false">IF(OR(M22="",Q22="",R22="",S22="",T22=""),"",IF(H22="Long",(Q22-M22)/S22*T22*R22,IF(H22="Short",(M22-Q22)/S22*T22*R22,"")))</f>
        <v/>
      </c>
      <c r="X22" s="51" t="str">
        <f aca="false">IF(W22="","",W22-U22-V22)</f>
        <v/>
      </c>
      <c r="Y22" s="51" t="str">
        <f aca="false">IF(OR(M22="",N22="",R22="",S22="",T22=""),"",ABS(M22-N22)/S22*T22*R22+U22+V22)</f>
        <v/>
      </c>
      <c r="Z22" s="52" t="str">
        <f aca="false">IF(OR(X22="",Y22="",Y22=0),"",X22/Y22)</f>
        <v/>
      </c>
      <c r="AA22" s="50"/>
      <c r="AB22" s="50"/>
      <c r="AC22" s="44"/>
      <c r="AD22" s="44"/>
      <c r="AE22" s="44"/>
      <c r="AF22" s="44"/>
      <c r="AG22" s="44"/>
      <c r="AH22" s="44"/>
      <c r="AI22" s="44"/>
      <c r="AJ22" s="52" t="str">
        <f aca="false">IF(B22="","",SUM($Z$6:Z22))</f>
        <v/>
      </c>
      <c r="AK22" s="52" t="str">
        <f aca="false">IF(AJ22="","",MAX($AJ$6:AJ22))</f>
        <v/>
      </c>
      <c r="AL22" s="52" t="str">
        <f aca="false">IF(AJ22="","",AJ22-AK22)</f>
        <v/>
      </c>
    </row>
    <row r="23" customFormat="false" ht="15" hidden="false" customHeight="false" outlineLevel="0" collapsed="false">
      <c r="A23" s="44"/>
      <c r="B23" s="45"/>
      <c r="C23" s="44"/>
      <c r="D23" s="44"/>
      <c r="E23" s="44"/>
      <c r="F23" s="44"/>
      <c r="G23" s="44"/>
      <c r="H23" s="44"/>
      <c r="I23" s="44"/>
      <c r="J23" s="44"/>
      <c r="K23" s="44"/>
      <c r="L23" s="46"/>
      <c r="M23" s="47"/>
      <c r="N23" s="47"/>
      <c r="O23" s="47"/>
      <c r="P23" s="47"/>
      <c r="Q23" s="47"/>
      <c r="R23" s="48"/>
      <c r="S23" s="49" t="str">
        <f aca="false">IF(E23="","",IFERROR(VLOOKUP(E23,Lists!$A$5:$C$8,2,FALSE()),""))</f>
        <v/>
      </c>
      <c r="T23" s="49" t="str">
        <f aca="false">IF(E23="","",IFERROR(VLOOKUP(E23,Lists!$A$5:$C$8,3,FALSE()),""))</f>
        <v/>
      </c>
      <c r="U23" s="50"/>
      <c r="V23" s="50"/>
      <c r="W23" s="51" t="str">
        <f aca="false">IF(OR(M23="",Q23="",R23="",S23="",T23=""),"",IF(H23="Long",(Q23-M23)/S23*T23*R23,IF(H23="Short",(M23-Q23)/S23*T23*R23,"")))</f>
        <v/>
      </c>
      <c r="X23" s="51" t="str">
        <f aca="false">IF(W23="","",W23-U23-V23)</f>
        <v/>
      </c>
      <c r="Y23" s="51" t="str">
        <f aca="false">IF(OR(M23="",N23="",R23="",S23="",T23=""),"",ABS(M23-N23)/S23*T23*R23+U23+V23)</f>
        <v/>
      </c>
      <c r="Z23" s="52" t="str">
        <f aca="false">IF(OR(X23="",Y23="",Y23=0),"",X23/Y23)</f>
        <v/>
      </c>
      <c r="AA23" s="50"/>
      <c r="AB23" s="50"/>
      <c r="AC23" s="44"/>
      <c r="AD23" s="44"/>
      <c r="AE23" s="44"/>
      <c r="AF23" s="44"/>
      <c r="AG23" s="44"/>
      <c r="AH23" s="44"/>
      <c r="AI23" s="44"/>
      <c r="AJ23" s="52" t="str">
        <f aca="false">IF(B23="","",SUM($Z$6:Z23))</f>
        <v/>
      </c>
      <c r="AK23" s="52" t="str">
        <f aca="false">IF(AJ23="","",MAX($AJ$6:AJ23))</f>
        <v/>
      </c>
      <c r="AL23" s="52" t="str">
        <f aca="false">IF(AJ23="","",AJ23-AK23)</f>
        <v/>
      </c>
    </row>
    <row r="24" customFormat="false" ht="15" hidden="false" customHeight="false" outlineLevel="0" collapsed="false">
      <c r="A24" s="44"/>
      <c r="B24" s="45"/>
      <c r="C24" s="44"/>
      <c r="D24" s="44"/>
      <c r="E24" s="44"/>
      <c r="F24" s="44"/>
      <c r="G24" s="44"/>
      <c r="H24" s="44"/>
      <c r="I24" s="44"/>
      <c r="J24" s="44"/>
      <c r="K24" s="44"/>
      <c r="L24" s="46"/>
      <c r="M24" s="47"/>
      <c r="N24" s="47"/>
      <c r="O24" s="47"/>
      <c r="P24" s="47"/>
      <c r="Q24" s="47"/>
      <c r="R24" s="48"/>
      <c r="S24" s="49" t="str">
        <f aca="false">IF(E24="","",IFERROR(VLOOKUP(E24,Lists!$A$5:$C$8,2,FALSE()),""))</f>
        <v/>
      </c>
      <c r="T24" s="49" t="str">
        <f aca="false">IF(E24="","",IFERROR(VLOOKUP(E24,Lists!$A$5:$C$8,3,FALSE()),""))</f>
        <v/>
      </c>
      <c r="U24" s="50"/>
      <c r="V24" s="50"/>
      <c r="W24" s="51" t="str">
        <f aca="false">IF(OR(M24="",Q24="",R24="",S24="",T24=""),"",IF(H24="Long",(Q24-M24)/S24*T24*R24,IF(H24="Short",(M24-Q24)/S24*T24*R24,"")))</f>
        <v/>
      </c>
      <c r="X24" s="51" t="str">
        <f aca="false">IF(W24="","",W24-U24-V24)</f>
        <v/>
      </c>
      <c r="Y24" s="51" t="str">
        <f aca="false">IF(OR(M24="",N24="",R24="",S24="",T24=""),"",ABS(M24-N24)/S24*T24*R24+U24+V24)</f>
        <v/>
      </c>
      <c r="Z24" s="52" t="str">
        <f aca="false">IF(OR(X24="",Y24="",Y24=0),"",X24/Y24)</f>
        <v/>
      </c>
      <c r="AA24" s="50"/>
      <c r="AB24" s="50"/>
      <c r="AC24" s="44"/>
      <c r="AD24" s="44"/>
      <c r="AE24" s="44"/>
      <c r="AF24" s="44"/>
      <c r="AG24" s="44"/>
      <c r="AH24" s="44"/>
      <c r="AI24" s="44"/>
      <c r="AJ24" s="52" t="str">
        <f aca="false">IF(B24="","",SUM($Z$6:Z24))</f>
        <v/>
      </c>
      <c r="AK24" s="52" t="str">
        <f aca="false">IF(AJ24="","",MAX($AJ$6:AJ24))</f>
        <v/>
      </c>
      <c r="AL24" s="52" t="str">
        <f aca="false">IF(AJ24="","",AJ24-AK24)</f>
        <v/>
      </c>
    </row>
    <row r="25" customFormat="false" ht="15" hidden="false" customHeight="false" outlineLevel="0" collapsed="false">
      <c r="A25" s="44"/>
      <c r="B25" s="45"/>
      <c r="C25" s="44"/>
      <c r="D25" s="44"/>
      <c r="E25" s="44"/>
      <c r="F25" s="44"/>
      <c r="G25" s="44"/>
      <c r="H25" s="44"/>
      <c r="I25" s="44"/>
      <c r="J25" s="44"/>
      <c r="K25" s="44"/>
      <c r="L25" s="46"/>
      <c r="M25" s="47"/>
      <c r="N25" s="47"/>
      <c r="O25" s="47"/>
      <c r="P25" s="47"/>
      <c r="Q25" s="47"/>
      <c r="R25" s="48"/>
      <c r="S25" s="49" t="str">
        <f aca="false">IF(E25="","",IFERROR(VLOOKUP(E25,Lists!$A$5:$C$8,2,FALSE()),""))</f>
        <v/>
      </c>
      <c r="T25" s="49" t="str">
        <f aca="false">IF(E25="","",IFERROR(VLOOKUP(E25,Lists!$A$5:$C$8,3,FALSE()),""))</f>
        <v/>
      </c>
      <c r="U25" s="50"/>
      <c r="V25" s="50"/>
      <c r="W25" s="51" t="str">
        <f aca="false">IF(OR(M25="",Q25="",R25="",S25="",T25=""),"",IF(H25="Long",(Q25-M25)/S25*T25*R25,IF(H25="Short",(M25-Q25)/S25*T25*R25,"")))</f>
        <v/>
      </c>
      <c r="X25" s="51" t="str">
        <f aca="false">IF(W25="","",W25-U25-V25)</f>
        <v/>
      </c>
      <c r="Y25" s="51" t="str">
        <f aca="false">IF(OR(M25="",N25="",R25="",S25="",T25=""),"",ABS(M25-N25)/S25*T25*R25+U25+V25)</f>
        <v/>
      </c>
      <c r="Z25" s="52" t="str">
        <f aca="false">IF(OR(X25="",Y25="",Y25=0),"",X25/Y25)</f>
        <v/>
      </c>
      <c r="AA25" s="50"/>
      <c r="AB25" s="50"/>
      <c r="AC25" s="44"/>
      <c r="AD25" s="44"/>
      <c r="AE25" s="44"/>
      <c r="AF25" s="44"/>
      <c r="AG25" s="44"/>
      <c r="AH25" s="44"/>
      <c r="AI25" s="44"/>
      <c r="AJ25" s="52" t="str">
        <f aca="false">IF(B25="","",SUM($Z$6:Z25))</f>
        <v/>
      </c>
      <c r="AK25" s="52" t="str">
        <f aca="false">IF(AJ25="","",MAX($AJ$6:AJ25))</f>
        <v/>
      </c>
      <c r="AL25" s="52" t="str">
        <f aca="false">IF(AJ25="","",AJ25-AK25)</f>
        <v/>
      </c>
    </row>
    <row r="26" customFormat="false" ht="15" hidden="false" customHeight="false" outlineLevel="0" collapsed="false">
      <c r="A26" s="44"/>
      <c r="B26" s="45"/>
      <c r="C26" s="44"/>
      <c r="D26" s="44"/>
      <c r="E26" s="44"/>
      <c r="F26" s="44"/>
      <c r="G26" s="44"/>
      <c r="H26" s="44"/>
      <c r="I26" s="44"/>
      <c r="J26" s="44"/>
      <c r="K26" s="44"/>
      <c r="L26" s="46"/>
      <c r="M26" s="47"/>
      <c r="N26" s="47"/>
      <c r="O26" s="47"/>
      <c r="P26" s="47"/>
      <c r="Q26" s="47"/>
      <c r="R26" s="48"/>
      <c r="S26" s="49" t="str">
        <f aca="false">IF(E26="","",IFERROR(VLOOKUP(E26,Lists!$A$5:$C$8,2,FALSE()),""))</f>
        <v/>
      </c>
      <c r="T26" s="49" t="str">
        <f aca="false">IF(E26="","",IFERROR(VLOOKUP(E26,Lists!$A$5:$C$8,3,FALSE()),""))</f>
        <v/>
      </c>
      <c r="U26" s="50"/>
      <c r="V26" s="50"/>
      <c r="W26" s="51" t="str">
        <f aca="false">IF(OR(M26="",Q26="",R26="",S26="",T26=""),"",IF(H26="Long",(Q26-M26)/S26*T26*R26,IF(H26="Short",(M26-Q26)/S26*T26*R26,"")))</f>
        <v/>
      </c>
      <c r="X26" s="51" t="str">
        <f aca="false">IF(W26="","",W26-U26-V26)</f>
        <v/>
      </c>
      <c r="Y26" s="51" t="str">
        <f aca="false">IF(OR(M26="",N26="",R26="",S26="",T26=""),"",ABS(M26-N26)/S26*T26*R26+U26+V26)</f>
        <v/>
      </c>
      <c r="Z26" s="52" t="str">
        <f aca="false">IF(OR(X26="",Y26="",Y26=0),"",X26/Y26)</f>
        <v/>
      </c>
      <c r="AA26" s="50"/>
      <c r="AB26" s="50"/>
      <c r="AC26" s="44"/>
      <c r="AD26" s="44"/>
      <c r="AE26" s="44"/>
      <c r="AF26" s="44"/>
      <c r="AG26" s="44"/>
      <c r="AH26" s="44"/>
      <c r="AI26" s="44"/>
      <c r="AJ26" s="52" t="str">
        <f aca="false">IF(B26="","",SUM($Z$6:Z26))</f>
        <v/>
      </c>
      <c r="AK26" s="52" t="str">
        <f aca="false">IF(AJ26="","",MAX($AJ$6:AJ26))</f>
        <v/>
      </c>
      <c r="AL26" s="52" t="str">
        <f aca="false">IF(AJ26="","",AJ26-AK26)</f>
        <v/>
      </c>
    </row>
    <row r="27" customFormat="false" ht="15" hidden="false" customHeight="false" outlineLevel="0" collapsed="false">
      <c r="A27" s="44"/>
      <c r="B27" s="45"/>
      <c r="C27" s="44"/>
      <c r="D27" s="44"/>
      <c r="E27" s="44"/>
      <c r="F27" s="44"/>
      <c r="G27" s="44"/>
      <c r="H27" s="44"/>
      <c r="I27" s="44"/>
      <c r="J27" s="44"/>
      <c r="K27" s="44"/>
      <c r="L27" s="46"/>
      <c r="M27" s="47"/>
      <c r="N27" s="47"/>
      <c r="O27" s="47"/>
      <c r="P27" s="47"/>
      <c r="Q27" s="47"/>
      <c r="R27" s="48"/>
      <c r="S27" s="49" t="str">
        <f aca="false">IF(E27="","",IFERROR(VLOOKUP(E27,Lists!$A$5:$C$8,2,FALSE()),""))</f>
        <v/>
      </c>
      <c r="T27" s="49" t="str">
        <f aca="false">IF(E27="","",IFERROR(VLOOKUP(E27,Lists!$A$5:$C$8,3,FALSE()),""))</f>
        <v/>
      </c>
      <c r="U27" s="50"/>
      <c r="V27" s="50"/>
      <c r="W27" s="51" t="str">
        <f aca="false">IF(OR(M27="",Q27="",R27="",S27="",T27=""),"",IF(H27="Long",(Q27-M27)/S27*T27*R27,IF(H27="Short",(M27-Q27)/S27*T27*R27,"")))</f>
        <v/>
      </c>
      <c r="X27" s="51" t="str">
        <f aca="false">IF(W27="","",W27-U27-V27)</f>
        <v/>
      </c>
      <c r="Y27" s="51" t="str">
        <f aca="false">IF(OR(M27="",N27="",R27="",S27="",T27=""),"",ABS(M27-N27)/S27*T27*R27+U27+V27)</f>
        <v/>
      </c>
      <c r="Z27" s="52" t="str">
        <f aca="false">IF(OR(X27="",Y27="",Y27=0),"",X27/Y27)</f>
        <v/>
      </c>
      <c r="AA27" s="50"/>
      <c r="AB27" s="50"/>
      <c r="AC27" s="44"/>
      <c r="AD27" s="44"/>
      <c r="AE27" s="44"/>
      <c r="AF27" s="44"/>
      <c r="AG27" s="44"/>
      <c r="AH27" s="44"/>
      <c r="AI27" s="44"/>
      <c r="AJ27" s="52" t="str">
        <f aca="false">IF(B27="","",SUM($Z$6:Z27))</f>
        <v/>
      </c>
      <c r="AK27" s="52" t="str">
        <f aca="false">IF(AJ27="","",MAX($AJ$6:AJ27))</f>
        <v/>
      </c>
      <c r="AL27" s="52" t="str">
        <f aca="false">IF(AJ27="","",AJ27-AK27)</f>
        <v/>
      </c>
    </row>
    <row r="28" customFormat="false" ht="15" hidden="false" customHeight="false" outlineLevel="0" collapsed="false">
      <c r="A28" s="44"/>
      <c r="B28" s="45"/>
      <c r="C28" s="44"/>
      <c r="D28" s="44"/>
      <c r="E28" s="44"/>
      <c r="F28" s="44"/>
      <c r="G28" s="44"/>
      <c r="H28" s="44"/>
      <c r="I28" s="44"/>
      <c r="J28" s="44"/>
      <c r="K28" s="44"/>
      <c r="L28" s="46"/>
      <c r="M28" s="47"/>
      <c r="N28" s="47"/>
      <c r="O28" s="47"/>
      <c r="P28" s="47"/>
      <c r="Q28" s="47"/>
      <c r="R28" s="48"/>
      <c r="S28" s="49" t="str">
        <f aca="false">IF(E28="","",IFERROR(VLOOKUP(E28,Lists!$A$5:$C$8,2,FALSE()),""))</f>
        <v/>
      </c>
      <c r="T28" s="49" t="str">
        <f aca="false">IF(E28="","",IFERROR(VLOOKUP(E28,Lists!$A$5:$C$8,3,FALSE()),""))</f>
        <v/>
      </c>
      <c r="U28" s="50"/>
      <c r="V28" s="50"/>
      <c r="W28" s="51" t="str">
        <f aca="false">IF(OR(M28="",Q28="",R28="",S28="",T28=""),"",IF(H28="Long",(Q28-M28)/S28*T28*R28,IF(H28="Short",(M28-Q28)/S28*T28*R28,"")))</f>
        <v/>
      </c>
      <c r="X28" s="51" t="str">
        <f aca="false">IF(W28="","",W28-U28-V28)</f>
        <v/>
      </c>
      <c r="Y28" s="51" t="str">
        <f aca="false">IF(OR(M28="",N28="",R28="",S28="",T28=""),"",ABS(M28-N28)/S28*T28*R28+U28+V28)</f>
        <v/>
      </c>
      <c r="Z28" s="52" t="str">
        <f aca="false">IF(OR(X28="",Y28="",Y28=0),"",X28/Y28)</f>
        <v/>
      </c>
      <c r="AA28" s="50"/>
      <c r="AB28" s="50"/>
      <c r="AC28" s="44"/>
      <c r="AD28" s="44"/>
      <c r="AE28" s="44"/>
      <c r="AF28" s="44"/>
      <c r="AG28" s="44"/>
      <c r="AH28" s="44"/>
      <c r="AI28" s="44"/>
      <c r="AJ28" s="52" t="str">
        <f aca="false">IF(B28="","",SUM($Z$6:Z28))</f>
        <v/>
      </c>
      <c r="AK28" s="52" t="str">
        <f aca="false">IF(AJ28="","",MAX($AJ$6:AJ28))</f>
        <v/>
      </c>
      <c r="AL28" s="52" t="str">
        <f aca="false">IF(AJ28="","",AJ28-AK28)</f>
        <v/>
      </c>
    </row>
    <row r="29" customFormat="false" ht="15" hidden="false" customHeight="false" outlineLevel="0" collapsed="false">
      <c r="A29" s="44"/>
      <c r="B29" s="45"/>
      <c r="C29" s="44"/>
      <c r="D29" s="44"/>
      <c r="E29" s="44"/>
      <c r="F29" s="44"/>
      <c r="G29" s="44"/>
      <c r="H29" s="44"/>
      <c r="I29" s="44"/>
      <c r="J29" s="44"/>
      <c r="K29" s="44"/>
      <c r="L29" s="46"/>
      <c r="M29" s="47"/>
      <c r="N29" s="47"/>
      <c r="O29" s="47"/>
      <c r="P29" s="47"/>
      <c r="Q29" s="47"/>
      <c r="R29" s="48"/>
      <c r="S29" s="49" t="str">
        <f aca="false">IF(E29="","",IFERROR(VLOOKUP(E29,Lists!$A$5:$C$8,2,FALSE()),""))</f>
        <v/>
      </c>
      <c r="T29" s="49" t="str">
        <f aca="false">IF(E29="","",IFERROR(VLOOKUP(E29,Lists!$A$5:$C$8,3,FALSE()),""))</f>
        <v/>
      </c>
      <c r="U29" s="50"/>
      <c r="V29" s="50"/>
      <c r="W29" s="51" t="str">
        <f aca="false">IF(OR(M29="",Q29="",R29="",S29="",T29=""),"",IF(H29="Long",(Q29-M29)/S29*T29*R29,IF(H29="Short",(M29-Q29)/S29*T29*R29,"")))</f>
        <v/>
      </c>
      <c r="X29" s="51" t="str">
        <f aca="false">IF(W29="","",W29-U29-V29)</f>
        <v/>
      </c>
      <c r="Y29" s="51" t="str">
        <f aca="false">IF(OR(M29="",N29="",R29="",S29="",T29=""),"",ABS(M29-N29)/S29*T29*R29+U29+V29)</f>
        <v/>
      </c>
      <c r="Z29" s="52" t="str">
        <f aca="false">IF(OR(X29="",Y29="",Y29=0),"",X29/Y29)</f>
        <v/>
      </c>
      <c r="AA29" s="50"/>
      <c r="AB29" s="50"/>
      <c r="AC29" s="44"/>
      <c r="AD29" s="44"/>
      <c r="AE29" s="44"/>
      <c r="AF29" s="44"/>
      <c r="AG29" s="44"/>
      <c r="AH29" s="44"/>
      <c r="AI29" s="44"/>
      <c r="AJ29" s="52" t="str">
        <f aca="false">IF(B29="","",SUM($Z$6:Z29))</f>
        <v/>
      </c>
      <c r="AK29" s="52" t="str">
        <f aca="false">IF(AJ29="","",MAX($AJ$6:AJ29))</f>
        <v/>
      </c>
      <c r="AL29" s="52" t="str">
        <f aca="false">IF(AJ29="","",AJ29-AK29)</f>
        <v/>
      </c>
    </row>
    <row r="30" customFormat="false" ht="15" hidden="false" customHeight="false" outlineLevel="0" collapsed="false">
      <c r="A30" s="44"/>
      <c r="B30" s="45"/>
      <c r="C30" s="44"/>
      <c r="D30" s="44"/>
      <c r="E30" s="44"/>
      <c r="F30" s="44"/>
      <c r="G30" s="44"/>
      <c r="H30" s="44"/>
      <c r="I30" s="44"/>
      <c r="J30" s="44"/>
      <c r="K30" s="44"/>
      <c r="L30" s="46"/>
      <c r="M30" s="47"/>
      <c r="N30" s="47"/>
      <c r="O30" s="47"/>
      <c r="P30" s="47"/>
      <c r="Q30" s="47"/>
      <c r="R30" s="48"/>
      <c r="S30" s="49" t="str">
        <f aca="false">IF(E30="","",IFERROR(VLOOKUP(E30,Lists!$A$5:$C$8,2,FALSE()),""))</f>
        <v/>
      </c>
      <c r="T30" s="49" t="str">
        <f aca="false">IF(E30="","",IFERROR(VLOOKUP(E30,Lists!$A$5:$C$8,3,FALSE()),""))</f>
        <v/>
      </c>
      <c r="U30" s="50"/>
      <c r="V30" s="50"/>
      <c r="W30" s="51" t="str">
        <f aca="false">IF(OR(M30="",Q30="",R30="",S30="",T30=""),"",IF(H30="Long",(Q30-M30)/S30*T30*R30,IF(H30="Short",(M30-Q30)/S30*T30*R30,"")))</f>
        <v/>
      </c>
      <c r="X30" s="51" t="str">
        <f aca="false">IF(W30="","",W30-U30-V30)</f>
        <v/>
      </c>
      <c r="Y30" s="51" t="str">
        <f aca="false">IF(OR(M30="",N30="",R30="",S30="",T30=""),"",ABS(M30-N30)/S30*T30*R30+U30+V30)</f>
        <v/>
      </c>
      <c r="Z30" s="52" t="str">
        <f aca="false">IF(OR(X30="",Y30="",Y30=0),"",X30/Y30)</f>
        <v/>
      </c>
      <c r="AA30" s="50"/>
      <c r="AB30" s="50"/>
      <c r="AC30" s="44"/>
      <c r="AD30" s="44"/>
      <c r="AE30" s="44"/>
      <c r="AF30" s="44"/>
      <c r="AG30" s="44"/>
      <c r="AH30" s="44"/>
      <c r="AI30" s="44"/>
      <c r="AJ30" s="52" t="str">
        <f aca="false">IF(B30="","",SUM($Z$6:Z30))</f>
        <v/>
      </c>
      <c r="AK30" s="52" t="str">
        <f aca="false">IF(AJ30="","",MAX($AJ$6:AJ30))</f>
        <v/>
      </c>
      <c r="AL30" s="52" t="str">
        <f aca="false">IF(AJ30="","",AJ30-AK30)</f>
        <v/>
      </c>
    </row>
    <row r="31" customFormat="false" ht="15" hidden="false" customHeight="false" outlineLevel="0" collapsed="false">
      <c r="A31" s="44"/>
      <c r="B31" s="45"/>
      <c r="C31" s="44"/>
      <c r="D31" s="44"/>
      <c r="E31" s="44"/>
      <c r="F31" s="44"/>
      <c r="G31" s="44"/>
      <c r="H31" s="44"/>
      <c r="I31" s="44"/>
      <c r="J31" s="44"/>
      <c r="K31" s="44"/>
      <c r="L31" s="46"/>
      <c r="M31" s="47"/>
      <c r="N31" s="47"/>
      <c r="O31" s="47"/>
      <c r="P31" s="47"/>
      <c r="Q31" s="47"/>
      <c r="R31" s="48"/>
      <c r="S31" s="49" t="str">
        <f aca="false">IF(E31="","",IFERROR(VLOOKUP(E31,Lists!$A$5:$C$8,2,FALSE()),""))</f>
        <v/>
      </c>
      <c r="T31" s="49" t="str">
        <f aca="false">IF(E31="","",IFERROR(VLOOKUP(E31,Lists!$A$5:$C$8,3,FALSE()),""))</f>
        <v/>
      </c>
      <c r="U31" s="50"/>
      <c r="V31" s="50"/>
      <c r="W31" s="51" t="str">
        <f aca="false">IF(OR(M31="",Q31="",R31="",S31="",T31=""),"",IF(H31="Long",(Q31-M31)/S31*T31*R31,IF(H31="Short",(M31-Q31)/S31*T31*R31,"")))</f>
        <v/>
      </c>
      <c r="X31" s="51" t="str">
        <f aca="false">IF(W31="","",W31-U31-V31)</f>
        <v/>
      </c>
      <c r="Y31" s="51" t="str">
        <f aca="false">IF(OR(M31="",N31="",R31="",S31="",T31=""),"",ABS(M31-N31)/S31*T31*R31+U31+V31)</f>
        <v/>
      </c>
      <c r="Z31" s="52" t="str">
        <f aca="false">IF(OR(X31="",Y31="",Y31=0),"",X31/Y31)</f>
        <v/>
      </c>
      <c r="AA31" s="50"/>
      <c r="AB31" s="50"/>
      <c r="AC31" s="44"/>
      <c r="AD31" s="44"/>
      <c r="AE31" s="44"/>
      <c r="AF31" s="44"/>
      <c r="AG31" s="44"/>
      <c r="AH31" s="44"/>
      <c r="AI31" s="44"/>
      <c r="AJ31" s="52" t="str">
        <f aca="false">IF(B31="","",SUM($Z$6:Z31))</f>
        <v/>
      </c>
      <c r="AK31" s="52" t="str">
        <f aca="false">IF(AJ31="","",MAX($AJ$6:AJ31))</f>
        <v/>
      </c>
      <c r="AL31" s="52" t="str">
        <f aca="false">IF(AJ31="","",AJ31-AK31)</f>
        <v/>
      </c>
    </row>
    <row r="32" customFormat="false" ht="15" hidden="false" customHeight="false" outlineLevel="0" collapsed="false">
      <c r="A32" s="44"/>
      <c r="B32" s="45"/>
      <c r="C32" s="44"/>
      <c r="D32" s="44"/>
      <c r="E32" s="44"/>
      <c r="F32" s="44"/>
      <c r="G32" s="44"/>
      <c r="H32" s="44"/>
      <c r="I32" s="44"/>
      <c r="J32" s="44"/>
      <c r="K32" s="44"/>
      <c r="L32" s="46"/>
      <c r="M32" s="47"/>
      <c r="N32" s="47"/>
      <c r="O32" s="47"/>
      <c r="P32" s="47"/>
      <c r="Q32" s="47"/>
      <c r="R32" s="48"/>
      <c r="S32" s="49" t="str">
        <f aca="false">IF(E32="","",IFERROR(VLOOKUP(E32,Lists!$A$5:$C$8,2,FALSE()),""))</f>
        <v/>
      </c>
      <c r="T32" s="49" t="str">
        <f aca="false">IF(E32="","",IFERROR(VLOOKUP(E32,Lists!$A$5:$C$8,3,FALSE()),""))</f>
        <v/>
      </c>
      <c r="U32" s="50"/>
      <c r="V32" s="50"/>
      <c r="W32" s="51" t="str">
        <f aca="false">IF(OR(M32="",Q32="",R32="",S32="",T32=""),"",IF(H32="Long",(Q32-M32)/S32*T32*R32,IF(H32="Short",(M32-Q32)/S32*T32*R32,"")))</f>
        <v/>
      </c>
      <c r="X32" s="51" t="str">
        <f aca="false">IF(W32="","",W32-U32-V32)</f>
        <v/>
      </c>
      <c r="Y32" s="51" t="str">
        <f aca="false">IF(OR(M32="",N32="",R32="",S32="",T32=""),"",ABS(M32-N32)/S32*T32*R32+U32+V32)</f>
        <v/>
      </c>
      <c r="Z32" s="52" t="str">
        <f aca="false">IF(OR(X32="",Y32="",Y32=0),"",X32/Y32)</f>
        <v/>
      </c>
      <c r="AA32" s="50"/>
      <c r="AB32" s="50"/>
      <c r="AC32" s="44"/>
      <c r="AD32" s="44"/>
      <c r="AE32" s="44"/>
      <c r="AF32" s="44"/>
      <c r="AG32" s="44"/>
      <c r="AH32" s="44"/>
      <c r="AI32" s="44"/>
      <c r="AJ32" s="52" t="str">
        <f aca="false">IF(B32="","",SUM($Z$6:Z32))</f>
        <v/>
      </c>
      <c r="AK32" s="52" t="str">
        <f aca="false">IF(AJ32="","",MAX($AJ$6:AJ32))</f>
        <v/>
      </c>
      <c r="AL32" s="52" t="str">
        <f aca="false">IF(AJ32="","",AJ32-AK32)</f>
        <v/>
      </c>
    </row>
    <row r="33" customFormat="false" ht="15" hidden="false" customHeight="false" outlineLevel="0" collapsed="false">
      <c r="A33" s="44"/>
      <c r="B33" s="45"/>
      <c r="C33" s="44"/>
      <c r="D33" s="44"/>
      <c r="E33" s="44"/>
      <c r="F33" s="44"/>
      <c r="G33" s="44"/>
      <c r="H33" s="44"/>
      <c r="I33" s="44"/>
      <c r="J33" s="44"/>
      <c r="K33" s="44"/>
      <c r="L33" s="46"/>
      <c r="M33" s="47"/>
      <c r="N33" s="47"/>
      <c r="O33" s="47"/>
      <c r="P33" s="47"/>
      <c r="Q33" s="47"/>
      <c r="R33" s="48"/>
      <c r="S33" s="49" t="str">
        <f aca="false">IF(E33="","",IFERROR(VLOOKUP(E33,Lists!$A$5:$C$8,2,FALSE()),""))</f>
        <v/>
      </c>
      <c r="T33" s="49" t="str">
        <f aca="false">IF(E33="","",IFERROR(VLOOKUP(E33,Lists!$A$5:$C$8,3,FALSE()),""))</f>
        <v/>
      </c>
      <c r="U33" s="50"/>
      <c r="V33" s="50"/>
      <c r="W33" s="51" t="str">
        <f aca="false">IF(OR(M33="",Q33="",R33="",S33="",T33=""),"",IF(H33="Long",(Q33-M33)/S33*T33*R33,IF(H33="Short",(M33-Q33)/S33*T33*R33,"")))</f>
        <v/>
      </c>
      <c r="X33" s="51" t="str">
        <f aca="false">IF(W33="","",W33-U33-V33)</f>
        <v/>
      </c>
      <c r="Y33" s="51" t="str">
        <f aca="false">IF(OR(M33="",N33="",R33="",S33="",T33=""),"",ABS(M33-N33)/S33*T33*R33+U33+V33)</f>
        <v/>
      </c>
      <c r="Z33" s="52" t="str">
        <f aca="false">IF(OR(X33="",Y33="",Y33=0),"",X33/Y33)</f>
        <v/>
      </c>
      <c r="AA33" s="50"/>
      <c r="AB33" s="50"/>
      <c r="AC33" s="44"/>
      <c r="AD33" s="44"/>
      <c r="AE33" s="44"/>
      <c r="AF33" s="44"/>
      <c r="AG33" s="44"/>
      <c r="AH33" s="44"/>
      <c r="AI33" s="44"/>
      <c r="AJ33" s="52" t="str">
        <f aca="false">IF(B33="","",SUM($Z$6:Z33))</f>
        <v/>
      </c>
      <c r="AK33" s="52" t="str">
        <f aca="false">IF(AJ33="","",MAX($AJ$6:AJ33))</f>
        <v/>
      </c>
      <c r="AL33" s="52" t="str">
        <f aca="false">IF(AJ33="","",AJ33-AK33)</f>
        <v/>
      </c>
    </row>
    <row r="34" customFormat="false" ht="15" hidden="false" customHeight="false" outlineLevel="0" collapsed="false">
      <c r="A34" s="44"/>
      <c r="B34" s="45"/>
      <c r="C34" s="44"/>
      <c r="D34" s="44"/>
      <c r="E34" s="44"/>
      <c r="F34" s="44"/>
      <c r="G34" s="44"/>
      <c r="H34" s="44"/>
      <c r="I34" s="44"/>
      <c r="J34" s="44"/>
      <c r="K34" s="44"/>
      <c r="L34" s="46"/>
      <c r="M34" s="47"/>
      <c r="N34" s="47"/>
      <c r="O34" s="47"/>
      <c r="P34" s="47"/>
      <c r="Q34" s="47"/>
      <c r="R34" s="48"/>
      <c r="S34" s="49" t="str">
        <f aca="false">IF(E34="","",IFERROR(VLOOKUP(E34,Lists!$A$5:$C$8,2,FALSE()),""))</f>
        <v/>
      </c>
      <c r="T34" s="49" t="str">
        <f aca="false">IF(E34="","",IFERROR(VLOOKUP(E34,Lists!$A$5:$C$8,3,FALSE()),""))</f>
        <v/>
      </c>
      <c r="U34" s="50"/>
      <c r="V34" s="50"/>
      <c r="W34" s="51" t="str">
        <f aca="false">IF(OR(M34="",Q34="",R34="",S34="",T34=""),"",IF(H34="Long",(Q34-M34)/S34*T34*R34,IF(H34="Short",(M34-Q34)/S34*T34*R34,"")))</f>
        <v/>
      </c>
      <c r="X34" s="51" t="str">
        <f aca="false">IF(W34="","",W34-U34-V34)</f>
        <v/>
      </c>
      <c r="Y34" s="51" t="str">
        <f aca="false">IF(OR(M34="",N34="",R34="",S34="",T34=""),"",ABS(M34-N34)/S34*T34*R34+U34+V34)</f>
        <v/>
      </c>
      <c r="Z34" s="52" t="str">
        <f aca="false">IF(OR(X34="",Y34="",Y34=0),"",X34/Y34)</f>
        <v/>
      </c>
      <c r="AA34" s="50"/>
      <c r="AB34" s="50"/>
      <c r="AC34" s="44"/>
      <c r="AD34" s="44"/>
      <c r="AE34" s="44"/>
      <c r="AF34" s="44"/>
      <c r="AG34" s="44"/>
      <c r="AH34" s="44"/>
      <c r="AI34" s="44"/>
      <c r="AJ34" s="52" t="str">
        <f aca="false">IF(B34="","",SUM($Z$6:Z34))</f>
        <v/>
      </c>
      <c r="AK34" s="52" t="str">
        <f aca="false">IF(AJ34="","",MAX($AJ$6:AJ34))</f>
        <v/>
      </c>
      <c r="AL34" s="52" t="str">
        <f aca="false">IF(AJ34="","",AJ34-AK34)</f>
        <v/>
      </c>
    </row>
    <row r="35" customFormat="false" ht="15" hidden="false" customHeight="false" outlineLevel="0" collapsed="false">
      <c r="A35" s="44"/>
      <c r="B35" s="45"/>
      <c r="C35" s="44"/>
      <c r="D35" s="44"/>
      <c r="E35" s="44"/>
      <c r="F35" s="44"/>
      <c r="G35" s="44"/>
      <c r="H35" s="44"/>
      <c r="I35" s="44"/>
      <c r="J35" s="44"/>
      <c r="K35" s="44"/>
      <c r="L35" s="46"/>
      <c r="M35" s="47"/>
      <c r="N35" s="47"/>
      <c r="O35" s="47"/>
      <c r="P35" s="47"/>
      <c r="Q35" s="47"/>
      <c r="R35" s="48"/>
      <c r="S35" s="49" t="str">
        <f aca="false">IF(E35="","",IFERROR(VLOOKUP(E35,Lists!$A$5:$C$8,2,FALSE()),""))</f>
        <v/>
      </c>
      <c r="T35" s="49" t="str">
        <f aca="false">IF(E35="","",IFERROR(VLOOKUP(E35,Lists!$A$5:$C$8,3,FALSE()),""))</f>
        <v/>
      </c>
      <c r="U35" s="50"/>
      <c r="V35" s="50"/>
      <c r="W35" s="51" t="str">
        <f aca="false">IF(OR(M35="",Q35="",R35="",S35="",T35=""),"",IF(H35="Long",(Q35-M35)/S35*T35*R35,IF(H35="Short",(M35-Q35)/S35*T35*R35,"")))</f>
        <v/>
      </c>
      <c r="X35" s="51" t="str">
        <f aca="false">IF(W35="","",W35-U35-V35)</f>
        <v/>
      </c>
      <c r="Y35" s="51" t="str">
        <f aca="false">IF(OR(M35="",N35="",R35="",S35="",T35=""),"",ABS(M35-N35)/S35*T35*R35+U35+V35)</f>
        <v/>
      </c>
      <c r="Z35" s="52" t="str">
        <f aca="false">IF(OR(X35="",Y35="",Y35=0),"",X35/Y35)</f>
        <v/>
      </c>
      <c r="AA35" s="50"/>
      <c r="AB35" s="50"/>
      <c r="AC35" s="44"/>
      <c r="AD35" s="44"/>
      <c r="AE35" s="44"/>
      <c r="AF35" s="44"/>
      <c r="AG35" s="44"/>
      <c r="AH35" s="44"/>
      <c r="AI35" s="44"/>
      <c r="AJ35" s="52" t="str">
        <f aca="false">IF(B35="","",SUM($Z$6:Z35))</f>
        <v/>
      </c>
      <c r="AK35" s="52" t="str">
        <f aca="false">IF(AJ35="","",MAX($AJ$6:AJ35))</f>
        <v/>
      </c>
      <c r="AL35" s="52" t="str">
        <f aca="false">IF(AJ35="","",AJ35-AK35)</f>
        <v/>
      </c>
    </row>
    <row r="36" customFormat="false" ht="15" hidden="false" customHeight="false" outlineLevel="0" collapsed="false">
      <c r="A36" s="44"/>
      <c r="B36" s="45"/>
      <c r="C36" s="44"/>
      <c r="D36" s="44"/>
      <c r="E36" s="44"/>
      <c r="F36" s="44"/>
      <c r="G36" s="44"/>
      <c r="H36" s="44"/>
      <c r="I36" s="44"/>
      <c r="J36" s="44"/>
      <c r="K36" s="44"/>
      <c r="L36" s="46"/>
      <c r="M36" s="47"/>
      <c r="N36" s="47"/>
      <c r="O36" s="47"/>
      <c r="P36" s="47"/>
      <c r="Q36" s="47"/>
      <c r="R36" s="48"/>
      <c r="S36" s="49" t="str">
        <f aca="false">IF(E36="","",IFERROR(VLOOKUP(E36,Lists!$A$5:$C$8,2,FALSE()),""))</f>
        <v/>
      </c>
      <c r="T36" s="49" t="str">
        <f aca="false">IF(E36="","",IFERROR(VLOOKUP(E36,Lists!$A$5:$C$8,3,FALSE()),""))</f>
        <v/>
      </c>
      <c r="U36" s="50"/>
      <c r="V36" s="50"/>
      <c r="W36" s="51" t="str">
        <f aca="false">IF(OR(M36="",Q36="",R36="",S36="",T36=""),"",IF(H36="Long",(Q36-M36)/S36*T36*R36,IF(H36="Short",(M36-Q36)/S36*T36*R36,"")))</f>
        <v/>
      </c>
      <c r="X36" s="51" t="str">
        <f aca="false">IF(W36="","",W36-U36-V36)</f>
        <v/>
      </c>
      <c r="Y36" s="51" t="str">
        <f aca="false">IF(OR(M36="",N36="",R36="",S36="",T36=""),"",ABS(M36-N36)/S36*T36*R36+U36+V36)</f>
        <v/>
      </c>
      <c r="Z36" s="52" t="str">
        <f aca="false">IF(OR(X36="",Y36="",Y36=0),"",X36/Y36)</f>
        <v/>
      </c>
      <c r="AA36" s="50"/>
      <c r="AB36" s="50"/>
      <c r="AC36" s="44"/>
      <c r="AD36" s="44"/>
      <c r="AE36" s="44"/>
      <c r="AF36" s="44"/>
      <c r="AG36" s="44"/>
      <c r="AH36" s="44"/>
      <c r="AI36" s="44"/>
      <c r="AJ36" s="52" t="str">
        <f aca="false">IF(B36="","",SUM($Z$6:Z36))</f>
        <v/>
      </c>
      <c r="AK36" s="52" t="str">
        <f aca="false">IF(AJ36="","",MAX($AJ$6:AJ36))</f>
        <v/>
      </c>
      <c r="AL36" s="52" t="str">
        <f aca="false">IF(AJ36="","",AJ36-AK36)</f>
        <v/>
      </c>
    </row>
    <row r="37" customFormat="false" ht="15" hidden="false" customHeight="false" outlineLevel="0" collapsed="false">
      <c r="A37" s="44"/>
      <c r="B37" s="45"/>
      <c r="C37" s="44"/>
      <c r="D37" s="44"/>
      <c r="E37" s="44"/>
      <c r="F37" s="44"/>
      <c r="G37" s="44"/>
      <c r="H37" s="44"/>
      <c r="I37" s="44"/>
      <c r="J37" s="44"/>
      <c r="K37" s="44"/>
      <c r="L37" s="46"/>
      <c r="M37" s="47"/>
      <c r="N37" s="47"/>
      <c r="O37" s="47"/>
      <c r="P37" s="47"/>
      <c r="Q37" s="47"/>
      <c r="R37" s="48"/>
      <c r="S37" s="49" t="str">
        <f aca="false">IF(E37="","",IFERROR(VLOOKUP(E37,Lists!$A$5:$C$8,2,FALSE()),""))</f>
        <v/>
      </c>
      <c r="T37" s="49" t="str">
        <f aca="false">IF(E37="","",IFERROR(VLOOKUP(E37,Lists!$A$5:$C$8,3,FALSE()),""))</f>
        <v/>
      </c>
      <c r="U37" s="50"/>
      <c r="V37" s="50"/>
      <c r="W37" s="51" t="str">
        <f aca="false">IF(OR(M37="",Q37="",R37="",S37="",T37=""),"",IF(H37="Long",(Q37-M37)/S37*T37*R37,IF(H37="Short",(M37-Q37)/S37*T37*R37,"")))</f>
        <v/>
      </c>
      <c r="X37" s="51" t="str">
        <f aca="false">IF(W37="","",W37-U37-V37)</f>
        <v/>
      </c>
      <c r="Y37" s="51" t="str">
        <f aca="false">IF(OR(M37="",N37="",R37="",S37="",T37=""),"",ABS(M37-N37)/S37*T37*R37+U37+V37)</f>
        <v/>
      </c>
      <c r="Z37" s="52" t="str">
        <f aca="false">IF(OR(X37="",Y37="",Y37=0),"",X37/Y37)</f>
        <v/>
      </c>
      <c r="AA37" s="50"/>
      <c r="AB37" s="50"/>
      <c r="AC37" s="44"/>
      <c r="AD37" s="44"/>
      <c r="AE37" s="44"/>
      <c r="AF37" s="44"/>
      <c r="AG37" s="44"/>
      <c r="AH37" s="44"/>
      <c r="AI37" s="44"/>
      <c r="AJ37" s="52" t="str">
        <f aca="false">IF(B37="","",SUM($Z$6:Z37))</f>
        <v/>
      </c>
      <c r="AK37" s="52" t="str">
        <f aca="false">IF(AJ37="","",MAX($AJ$6:AJ37))</f>
        <v/>
      </c>
      <c r="AL37" s="52" t="str">
        <f aca="false">IF(AJ37="","",AJ37-AK37)</f>
        <v/>
      </c>
    </row>
    <row r="38" customFormat="false" ht="15" hidden="false" customHeight="false" outlineLevel="0" collapsed="false">
      <c r="A38" s="44"/>
      <c r="B38" s="45"/>
      <c r="C38" s="44"/>
      <c r="D38" s="44"/>
      <c r="E38" s="44"/>
      <c r="F38" s="44"/>
      <c r="G38" s="44"/>
      <c r="H38" s="44"/>
      <c r="I38" s="44"/>
      <c r="J38" s="44"/>
      <c r="K38" s="44"/>
      <c r="L38" s="46"/>
      <c r="M38" s="47"/>
      <c r="N38" s="47"/>
      <c r="O38" s="47"/>
      <c r="P38" s="47"/>
      <c r="Q38" s="47"/>
      <c r="R38" s="48"/>
      <c r="S38" s="49" t="str">
        <f aca="false">IF(E38="","",IFERROR(VLOOKUP(E38,Lists!$A$5:$C$8,2,FALSE()),""))</f>
        <v/>
      </c>
      <c r="T38" s="49" t="str">
        <f aca="false">IF(E38="","",IFERROR(VLOOKUP(E38,Lists!$A$5:$C$8,3,FALSE()),""))</f>
        <v/>
      </c>
      <c r="U38" s="50"/>
      <c r="V38" s="50"/>
      <c r="W38" s="51" t="str">
        <f aca="false">IF(OR(M38="",Q38="",R38="",S38="",T38=""),"",IF(H38="Long",(Q38-M38)/S38*T38*R38,IF(H38="Short",(M38-Q38)/S38*T38*R38,"")))</f>
        <v/>
      </c>
      <c r="X38" s="51" t="str">
        <f aca="false">IF(W38="","",W38-U38-V38)</f>
        <v/>
      </c>
      <c r="Y38" s="51" t="str">
        <f aca="false">IF(OR(M38="",N38="",R38="",S38="",T38=""),"",ABS(M38-N38)/S38*T38*R38+U38+V38)</f>
        <v/>
      </c>
      <c r="Z38" s="52" t="str">
        <f aca="false">IF(OR(X38="",Y38="",Y38=0),"",X38/Y38)</f>
        <v/>
      </c>
      <c r="AA38" s="50"/>
      <c r="AB38" s="50"/>
      <c r="AC38" s="44"/>
      <c r="AD38" s="44"/>
      <c r="AE38" s="44"/>
      <c r="AF38" s="44"/>
      <c r="AG38" s="44"/>
      <c r="AH38" s="44"/>
      <c r="AI38" s="44"/>
      <c r="AJ38" s="52" t="str">
        <f aca="false">IF(B38="","",SUM($Z$6:Z38))</f>
        <v/>
      </c>
      <c r="AK38" s="52" t="str">
        <f aca="false">IF(AJ38="","",MAX($AJ$6:AJ38))</f>
        <v/>
      </c>
      <c r="AL38" s="52" t="str">
        <f aca="false">IF(AJ38="","",AJ38-AK38)</f>
        <v/>
      </c>
    </row>
    <row r="39" customFormat="false" ht="15" hidden="false" customHeight="false" outlineLevel="0" collapsed="false">
      <c r="A39" s="44"/>
      <c r="B39" s="45"/>
      <c r="C39" s="44"/>
      <c r="D39" s="44"/>
      <c r="E39" s="44"/>
      <c r="F39" s="44"/>
      <c r="G39" s="44"/>
      <c r="H39" s="44"/>
      <c r="I39" s="44"/>
      <c r="J39" s="44"/>
      <c r="K39" s="44"/>
      <c r="L39" s="46"/>
      <c r="M39" s="47"/>
      <c r="N39" s="47"/>
      <c r="O39" s="47"/>
      <c r="P39" s="47"/>
      <c r="Q39" s="47"/>
      <c r="R39" s="48"/>
      <c r="S39" s="49" t="str">
        <f aca="false">IF(E39="","",IFERROR(VLOOKUP(E39,Lists!$A$5:$C$8,2,FALSE()),""))</f>
        <v/>
      </c>
      <c r="T39" s="49" t="str">
        <f aca="false">IF(E39="","",IFERROR(VLOOKUP(E39,Lists!$A$5:$C$8,3,FALSE()),""))</f>
        <v/>
      </c>
      <c r="U39" s="50"/>
      <c r="V39" s="50"/>
      <c r="W39" s="51" t="str">
        <f aca="false">IF(OR(M39="",Q39="",R39="",S39="",T39=""),"",IF(H39="Long",(Q39-M39)/S39*T39*R39,IF(H39="Short",(M39-Q39)/S39*T39*R39,"")))</f>
        <v/>
      </c>
      <c r="X39" s="51" t="str">
        <f aca="false">IF(W39="","",W39-U39-V39)</f>
        <v/>
      </c>
      <c r="Y39" s="51" t="str">
        <f aca="false">IF(OR(M39="",N39="",R39="",S39="",T39=""),"",ABS(M39-N39)/S39*T39*R39+U39+V39)</f>
        <v/>
      </c>
      <c r="Z39" s="52" t="str">
        <f aca="false">IF(OR(X39="",Y39="",Y39=0),"",X39/Y39)</f>
        <v/>
      </c>
      <c r="AA39" s="50"/>
      <c r="AB39" s="50"/>
      <c r="AC39" s="44"/>
      <c r="AD39" s="44"/>
      <c r="AE39" s="44"/>
      <c r="AF39" s="44"/>
      <c r="AG39" s="44"/>
      <c r="AH39" s="44"/>
      <c r="AI39" s="44"/>
      <c r="AJ39" s="52" t="str">
        <f aca="false">IF(B39="","",SUM($Z$6:Z39))</f>
        <v/>
      </c>
      <c r="AK39" s="52" t="str">
        <f aca="false">IF(AJ39="","",MAX($AJ$6:AJ39))</f>
        <v/>
      </c>
      <c r="AL39" s="52" t="str">
        <f aca="false">IF(AJ39="","",AJ39-AK39)</f>
        <v/>
      </c>
    </row>
    <row r="40" customFormat="false" ht="15" hidden="false" customHeight="false" outlineLevel="0" collapsed="false">
      <c r="A40" s="44"/>
      <c r="B40" s="45"/>
      <c r="C40" s="44"/>
      <c r="D40" s="44"/>
      <c r="E40" s="44"/>
      <c r="F40" s="44"/>
      <c r="G40" s="44"/>
      <c r="H40" s="44"/>
      <c r="I40" s="44"/>
      <c r="J40" s="44"/>
      <c r="K40" s="44"/>
      <c r="L40" s="46"/>
      <c r="M40" s="47"/>
      <c r="N40" s="47"/>
      <c r="O40" s="47"/>
      <c r="P40" s="47"/>
      <c r="Q40" s="47"/>
      <c r="R40" s="48"/>
      <c r="S40" s="49" t="str">
        <f aca="false">IF(E40="","",IFERROR(VLOOKUP(E40,Lists!$A$5:$C$8,2,FALSE()),""))</f>
        <v/>
      </c>
      <c r="T40" s="49" t="str">
        <f aca="false">IF(E40="","",IFERROR(VLOOKUP(E40,Lists!$A$5:$C$8,3,FALSE()),""))</f>
        <v/>
      </c>
      <c r="U40" s="50"/>
      <c r="V40" s="50"/>
      <c r="W40" s="51" t="str">
        <f aca="false">IF(OR(M40="",Q40="",R40="",S40="",T40=""),"",IF(H40="Long",(Q40-M40)/S40*T40*R40,IF(H40="Short",(M40-Q40)/S40*T40*R40,"")))</f>
        <v/>
      </c>
      <c r="X40" s="51" t="str">
        <f aca="false">IF(W40="","",W40-U40-V40)</f>
        <v/>
      </c>
      <c r="Y40" s="51" t="str">
        <f aca="false">IF(OR(M40="",N40="",R40="",S40="",T40=""),"",ABS(M40-N40)/S40*T40*R40+U40+V40)</f>
        <v/>
      </c>
      <c r="Z40" s="52" t="str">
        <f aca="false">IF(OR(X40="",Y40="",Y40=0),"",X40/Y40)</f>
        <v/>
      </c>
      <c r="AA40" s="50"/>
      <c r="AB40" s="50"/>
      <c r="AC40" s="44"/>
      <c r="AD40" s="44"/>
      <c r="AE40" s="44"/>
      <c r="AF40" s="44"/>
      <c r="AG40" s="44"/>
      <c r="AH40" s="44"/>
      <c r="AI40" s="44"/>
      <c r="AJ40" s="52" t="str">
        <f aca="false">IF(B40="","",SUM($Z$6:Z40))</f>
        <v/>
      </c>
      <c r="AK40" s="52" t="str">
        <f aca="false">IF(AJ40="","",MAX($AJ$6:AJ40))</f>
        <v/>
      </c>
      <c r="AL40" s="52" t="str">
        <f aca="false">IF(AJ40="","",AJ40-AK40)</f>
        <v/>
      </c>
    </row>
    <row r="41" customFormat="false" ht="15" hidden="false" customHeight="false" outlineLevel="0" collapsed="false">
      <c r="A41" s="44"/>
      <c r="B41" s="45"/>
      <c r="C41" s="44"/>
      <c r="D41" s="44"/>
      <c r="E41" s="44"/>
      <c r="F41" s="44"/>
      <c r="G41" s="44"/>
      <c r="H41" s="44"/>
      <c r="I41" s="44"/>
      <c r="J41" s="44"/>
      <c r="K41" s="44"/>
      <c r="L41" s="46"/>
      <c r="M41" s="47"/>
      <c r="N41" s="47"/>
      <c r="O41" s="47"/>
      <c r="P41" s="47"/>
      <c r="Q41" s="47"/>
      <c r="R41" s="48"/>
      <c r="S41" s="49" t="str">
        <f aca="false">IF(E41="","",IFERROR(VLOOKUP(E41,Lists!$A$5:$C$8,2,FALSE()),""))</f>
        <v/>
      </c>
      <c r="T41" s="49" t="str">
        <f aca="false">IF(E41="","",IFERROR(VLOOKUP(E41,Lists!$A$5:$C$8,3,FALSE()),""))</f>
        <v/>
      </c>
      <c r="U41" s="50"/>
      <c r="V41" s="50"/>
      <c r="W41" s="51" t="str">
        <f aca="false">IF(OR(M41="",Q41="",R41="",S41="",T41=""),"",IF(H41="Long",(Q41-M41)/S41*T41*R41,IF(H41="Short",(M41-Q41)/S41*T41*R41,"")))</f>
        <v/>
      </c>
      <c r="X41" s="51" t="str">
        <f aca="false">IF(W41="","",W41-U41-V41)</f>
        <v/>
      </c>
      <c r="Y41" s="51" t="str">
        <f aca="false">IF(OR(M41="",N41="",R41="",S41="",T41=""),"",ABS(M41-N41)/S41*T41*R41+U41+V41)</f>
        <v/>
      </c>
      <c r="Z41" s="52" t="str">
        <f aca="false">IF(OR(X41="",Y41="",Y41=0),"",X41/Y41)</f>
        <v/>
      </c>
      <c r="AA41" s="50"/>
      <c r="AB41" s="50"/>
      <c r="AC41" s="44"/>
      <c r="AD41" s="44"/>
      <c r="AE41" s="44"/>
      <c r="AF41" s="44"/>
      <c r="AG41" s="44"/>
      <c r="AH41" s="44"/>
      <c r="AI41" s="44"/>
      <c r="AJ41" s="52" t="str">
        <f aca="false">IF(B41="","",SUM($Z$6:Z41))</f>
        <v/>
      </c>
      <c r="AK41" s="52" t="str">
        <f aca="false">IF(AJ41="","",MAX($AJ$6:AJ41))</f>
        <v/>
      </c>
      <c r="AL41" s="52" t="str">
        <f aca="false">IF(AJ41="","",AJ41-AK41)</f>
        <v/>
      </c>
    </row>
    <row r="42" customFormat="false" ht="15" hidden="false" customHeight="false" outlineLevel="0" collapsed="false">
      <c r="A42" s="44"/>
      <c r="B42" s="45"/>
      <c r="C42" s="44"/>
      <c r="D42" s="44"/>
      <c r="E42" s="44"/>
      <c r="F42" s="44"/>
      <c r="G42" s="44"/>
      <c r="H42" s="44"/>
      <c r="I42" s="44"/>
      <c r="J42" s="44"/>
      <c r="K42" s="44"/>
      <c r="L42" s="46"/>
      <c r="M42" s="47"/>
      <c r="N42" s="47"/>
      <c r="O42" s="47"/>
      <c r="P42" s="47"/>
      <c r="Q42" s="47"/>
      <c r="R42" s="48"/>
      <c r="S42" s="49" t="str">
        <f aca="false">IF(E42="","",IFERROR(VLOOKUP(E42,Lists!$A$5:$C$8,2,FALSE()),""))</f>
        <v/>
      </c>
      <c r="T42" s="49" t="str">
        <f aca="false">IF(E42="","",IFERROR(VLOOKUP(E42,Lists!$A$5:$C$8,3,FALSE()),""))</f>
        <v/>
      </c>
      <c r="U42" s="50"/>
      <c r="V42" s="50"/>
      <c r="W42" s="51" t="str">
        <f aca="false">IF(OR(M42="",Q42="",R42="",S42="",T42=""),"",IF(H42="Long",(Q42-M42)/S42*T42*R42,IF(H42="Short",(M42-Q42)/S42*T42*R42,"")))</f>
        <v/>
      </c>
      <c r="X42" s="51" t="str">
        <f aca="false">IF(W42="","",W42-U42-V42)</f>
        <v/>
      </c>
      <c r="Y42" s="51" t="str">
        <f aca="false">IF(OR(M42="",N42="",R42="",S42="",T42=""),"",ABS(M42-N42)/S42*T42*R42+U42+V42)</f>
        <v/>
      </c>
      <c r="Z42" s="52" t="str">
        <f aca="false">IF(OR(X42="",Y42="",Y42=0),"",X42/Y42)</f>
        <v/>
      </c>
      <c r="AA42" s="50"/>
      <c r="AB42" s="50"/>
      <c r="AC42" s="44"/>
      <c r="AD42" s="44"/>
      <c r="AE42" s="44"/>
      <c r="AF42" s="44"/>
      <c r="AG42" s="44"/>
      <c r="AH42" s="44"/>
      <c r="AI42" s="44"/>
      <c r="AJ42" s="52" t="str">
        <f aca="false">IF(B42="","",SUM($Z$6:Z42))</f>
        <v/>
      </c>
      <c r="AK42" s="52" t="str">
        <f aca="false">IF(AJ42="","",MAX($AJ$6:AJ42))</f>
        <v/>
      </c>
      <c r="AL42" s="52" t="str">
        <f aca="false">IF(AJ42="","",AJ42-AK42)</f>
        <v/>
      </c>
    </row>
    <row r="43" customFormat="false" ht="15" hidden="false" customHeight="false" outlineLevel="0" collapsed="false">
      <c r="A43" s="44"/>
      <c r="B43" s="45"/>
      <c r="C43" s="44"/>
      <c r="D43" s="44"/>
      <c r="E43" s="44"/>
      <c r="F43" s="44"/>
      <c r="G43" s="44"/>
      <c r="H43" s="44"/>
      <c r="I43" s="44"/>
      <c r="J43" s="44"/>
      <c r="K43" s="44"/>
      <c r="L43" s="46"/>
      <c r="M43" s="47"/>
      <c r="N43" s="47"/>
      <c r="O43" s="47"/>
      <c r="P43" s="47"/>
      <c r="Q43" s="47"/>
      <c r="R43" s="48"/>
      <c r="S43" s="49" t="str">
        <f aca="false">IF(E43="","",IFERROR(VLOOKUP(E43,Lists!$A$5:$C$8,2,FALSE()),""))</f>
        <v/>
      </c>
      <c r="T43" s="49" t="str">
        <f aca="false">IF(E43="","",IFERROR(VLOOKUP(E43,Lists!$A$5:$C$8,3,FALSE()),""))</f>
        <v/>
      </c>
      <c r="U43" s="50"/>
      <c r="V43" s="50"/>
      <c r="W43" s="51" t="str">
        <f aca="false">IF(OR(M43="",Q43="",R43="",S43="",T43=""),"",IF(H43="Long",(Q43-M43)/S43*T43*R43,IF(H43="Short",(M43-Q43)/S43*T43*R43,"")))</f>
        <v/>
      </c>
      <c r="X43" s="51" t="str">
        <f aca="false">IF(W43="","",W43-U43-V43)</f>
        <v/>
      </c>
      <c r="Y43" s="51" t="str">
        <f aca="false">IF(OR(M43="",N43="",R43="",S43="",T43=""),"",ABS(M43-N43)/S43*T43*R43+U43+V43)</f>
        <v/>
      </c>
      <c r="Z43" s="52" t="str">
        <f aca="false">IF(OR(X43="",Y43="",Y43=0),"",X43/Y43)</f>
        <v/>
      </c>
      <c r="AA43" s="50"/>
      <c r="AB43" s="50"/>
      <c r="AC43" s="44"/>
      <c r="AD43" s="44"/>
      <c r="AE43" s="44"/>
      <c r="AF43" s="44"/>
      <c r="AG43" s="44"/>
      <c r="AH43" s="44"/>
      <c r="AI43" s="44"/>
      <c r="AJ43" s="52" t="str">
        <f aca="false">IF(B43="","",SUM($Z$6:Z43))</f>
        <v/>
      </c>
      <c r="AK43" s="52" t="str">
        <f aca="false">IF(AJ43="","",MAX($AJ$6:AJ43))</f>
        <v/>
      </c>
      <c r="AL43" s="52" t="str">
        <f aca="false">IF(AJ43="","",AJ43-AK43)</f>
        <v/>
      </c>
    </row>
    <row r="44" customFormat="false" ht="15" hidden="false" customHeight="false" outlineLevel="0" collapsed="false">
      <c r="A44" s="44"/>
      <c r="B44" s="45"/>
      <c r="C44" s="44"/>
      <c r="D44" s="44"/>
      <c r="E44" s="44"/>
      <c r="F44" s="44"/>
      <c r="G44" s="44"/>
      <c r="H44" s="44"/>
      <c r="I44" s="44"/>
      <c r="J44" s="44"/>
      <c r="K44" s="44"/>
      <c r="L44" s="46"/>
      <c r="M44" s="47"/>
      <c r="N44" s="47"/>
      <c r="O44" s="47"/>
      <c r="P44" s="47"/>
      <c r="Q44" s="47"/>
      <c r="R44" s="48"/>
      <c r="S44" s="49" t="str">
        <f aca="false">IF(E44="","",IFERROR(VLOOKUP(E44,Lists!$A$5:$C$8,2,FALSE()),""))</f>
        <v/>
      </c>
      <c r="T44" s="49" t="str">
        <f aca="false">IF(E44="","",IFERROR(VLOOKUP(E44,Lists!$A$5:$C$8,3,FALSE()),""))</f>
        <v/>
      </c>
      <c r="U44" s="50"/>
      <c r="V44" s="50"/>
      <c r="W44" s="51" t="str">
        <f aca="false">IF(OR(M44="",Q44="",R44="",S44="",T44=""),"",IF(H44="Long",(Q44-M44)/S44*T44*R44,IF(H44="Short",(M44-Q44)/S44*T44*R44,"")))</f>
        <v/>
      </c>
      <c r="X44" s="51" t="str">
        <f aca="false">IF(W44="","",W44-U44-V44)</f>
        <v/>
      </c>
      <c r="Y44" s="51" t="str">
        <f aca="false">IF(OR(M44="",N44="",R44="",S44="",T44=""),"",ABS(M44-N44)/S44*T44*R44+U44+V44)</f>
        <v/>
      </c>
      <c r="Z44" s="52" t="str">
        <f aca="false">IF(OR(X44="",Y44="",Y44=0),"",X44/Y44)</f>
        <v/>
      </c>
      <c r="AA44" s="50"/>
      <c r="AB44" s="50"/>
      <c r="AC44" s="44"/>
      <c r="AD44" s="44"/>
      <c r="AE44" s="44"/>
      <c r="AF44" s="44"/>
      <c r="AG44" s="44"/>
      <c r="AH44" s="44"/>
      <c r="AI44" s="44"/>
      <c r="AJ44" s="52" t="str">
        <f aca="false">IF(B44="","",SUM($Z$6:Z44))</f>
        <v/>
      </c>
      <c r="AK44" s="52" t="str">
        <f aca="false">IF(AJ44="","",MAX($AJ$6:AJ44))</f>
        <v/>
      </c>
      <c r="AL44" s="52" t="str">
        <f aca="false">IF(AJ44="","",AJ44-AK44)</f>
        <v/>
      </c>
    </row>
    <row r="45" customFormat="false" ht="15" hidden="false" customHeight="false" outlineLevel="0" collapsed="false">
      <c r="A45" s="44"/>
      <c r="B45" s="45"/>
      <c r="C45" s="44"/>
      <c r="D45" s="44"/>
      <c r="E45" s="44"/>
      <c r="F45" s="44"/>
      <c r="G45" s="44"/>
      <c r="H45" s="44"/>
      <c r="I45" s="44"/>
      <c r="J45" s="44"/>
      <c r="K45" s="44"/>
      <c r="L45" s="46"/>
      <c r="M45" s="47"/>
      <c r="N45" s="47"/>
      <c r="O45" s="47"/>
      <c r="P45" s="47"/>
      <c r="Q45" s="47"/>
      <c r="R45" s="48"/>
      <c r="S45" s="49" t="str">
        <f aca="false">IF(E45="","",IFERROR(VLOOKUP(E45,Lists!$A$5:$C$8,2,FALSE()),""))</f>
        <v/>
      </c>
      <c r="T45" s="49" t="str">
        <f aca="false">IF(E45="","",IFERROR(VLOOKUP(E45,Lists!$A$5:$C$8,3,FALSE()),""))</f>
        <v/>
      </c>
      <c r="U45" s="50"/>
      <c r="V45" s="50"/>
      <c r="W45" s="51" t="str">
        <f aca="false">IF(OR(M45="",Q45="",R45="",S45="",T45=""),"",IF(H45="Long",(Q45-M45)/S45*T45*R45,IF(H45="Short",(M45-Q45)/S45*T45*R45,"")))</f>
        <v/>
      </c>
      <c r="X45" s="51" t="str">
        <f aca="false">IF(W45="","",W45-U45-V45)</f>
        <v/>
      </c>
      <c r="Y45" s="51" t="str">
        <f aca="false">IF(OR(M45="",N45="",R45="",S45="",T45=""),"",ABS(M45-N45)/S45*T45*R45+U45+V45)</f>
        <v/>
      </c>
      <c r="Z45" s="52" t="str">
        <f aca="false">IF(OR(X45="",Y45="",Y45=0),"",X45/Y45)</f>
        <v/>
      </c>
      <c r="AA45" s="50"/>
      <c r="AB45" s="50"/>
      <c r="AC45" s="44"/>
      <c r="AD45" s="44"/>
      <c r="AE45" s="44"/>
      <c r="AF45" s="44"/>
      <c r="AG45" s="44"/>
      <c r="AH45" s="44"/>
      <c r="AI45" s="44"/>
      <c r="AJ45" s="52" t="str">
        <f aca="false">IF(B45="","",SUM($Z$6:Z45))</f>
        <v/>
      </c>
      <c r="AK45" s="52" t="str">
        <f aca="false">IF(AJ45="","",MAX($AJ$6:AJ45))</f>
        <v/>
      </c>
      <c r="AL45" s="52" t="str">
        <f aca="false">IF(AJ45="","",AJ45-AK45)</f>
        <v/>
      </c>
    </row>
    <row r="46" customFormat="false" ht="15" hidden="false" customHeight="false" outlineLevel="0" collapsed="false">
      <c r="A46" s="44"/>
      <c r="B46" s="45"/>
      <c r="C46" s="44"/>
      <c r="D46" s="44"/>
      <c r="E46" s="44"/>
      <c r="F46" s="44"/>
      <c r="G46" s="44"/>
      <c r="H46" s="44"/>
      <c r="I46" s="44"/>
      <c r="J46" s="44"/>
      <c r="K46" s="44"/>
      <c r="L46" s="46"/>
      <c r="M46" s="47"/>
      <c r="N46" s="47"/>
      <c r="O46" s="47"/>
      <c r="P46" s="47"/>
      <c r="Q46" s="47"/>
      <c r="R46" s="48"/>
      <c r="S46" s="49" t="str">
        <f aca="false">IF(E46="","",IFERROR(VLOOKUP(E46,Lists!$A$5:$C$8,2,FALSE()),""))</f>
        <v/>
      </c>
      <c r="T46" s="49" t="str">
        <f aca="false">IF(E46="","",IFERROR(VLOOKUP(E46,Lists!$A$5:$C$8,3,FALSE()),""))</f>
        <v/>
      </c>
      <c r="U46" s="50"/>
      <c r="V46" s="50"/>
      <c r="W46" s="51" t="str">
        <f aca="false">IF(OR(M46="",Q46="",R46="",S46="",T46=""),"",IF(H46="Long",(Q46-M46)/S46*T46*R46,IF(H46="Short",(M46-Q46)/S46*T46*R46,"")))</f>
        <v/>
      </c>
      <c r="X46" s="51" t="str">
        <f aca="false">IF(W46="","",W46-U46-V46)</f>
        <v/>
      </c>
      <c r="Y46" s="51" t="str">
        <f aca="false">IF(OR(M46="",N46="",R46="",S46="",T46=""),"",ABS(M46-N46)/S46*T46*R46+U46+V46)</f>
        <v/>
      </c>
      <c r="Z46" s="52" t="str">
        <f aca="false">IF(OR(X46="",Y46="",Y46=0),"",X46/Y46)</f>
        <v/>
      </c>
      <c r="AA46" s="50"/>
      <c r="AB46" s="50"/>
      <c r="AC46" s="44"/>
      <c r="AD46" s="44"/>
      <c r="AE46" s="44"/>
      <c r="AF46" s="44"/>
      <c r="AG46" s="44"/>
      <c r="AH46" s="44"/>
      <c r="AI46" s="44"/>
      <c r="AJ46" s="52" t="str">
        <f aca="false">IF(B46="","",SUM($Z$6:Z46))</f>
        <v/>
      </c>
      <c r="AK46" s="52" t="str">
        <f aca="false">IF(AJ46="","",MAX($AJ$6:AJ46))</f>
        <v/>
      </c>
      <c r="AL46" s="52" t="str">
        <f aca="false">IF(AJ46="","",AJ46-AK46)</f>
        <v/>
      </c>
    </row>
    <row r="47" customFormat="false" ht="15" hidden="false" customHeight="false" outlineLevel="0" collapsed="false">
      <c r="A47" s="44"/>
      <c r="B47" s="45"/>
      <c r="C47" s="44"/>
      <c r="D47" s="44"/>
      <c r="E47" s="44"/>
      <c r="F47" s="44"/>
      <c r="G47" s="44"/>
      <c r="H47" s="44"/>
      <c r="I47" s="44"/>
      <c r="J47" s="44"/>
      <c r="K47" s="44"/>
      <c r="L47" s="46"/>
      <c r="M47" s="47"/>
      <c r="N47" s="47"/>
      <c r="O47" s="47"/>
      <c r="P47" s="47"/>
      <c r="Q47" s="47"/>
      <c r="R47" s="48"/>
      <c r="S47" s="49" t="str">
        <f aca="false">IF(E47="","",IFERROR(VLOOKUP(E47,Lists!$A$5:$C$8,2,FALSE()),""))</f>
        <v/>
      </c>
      <c r="T47" s="49" t="str">
        <f aca="false">IF(E47="","",IFERROR(VLOOKUP(E47,Lists!$A$5:$C$8,3,FALSE()),""))</f>
        <v/>
      </c>
      <c r="U47" s="50"/>
      <c r="V47" s="50"/>
      <c r="W47" s="51" t="str">
        <f aca="false">IF(OR(M47="",Q47="",R47="",S47="",T47=""),"",IF(H47="Long",(Q47-M47)/S47*T47*R47,IF(H47="Short",(M47-Q47)/S47*T47*R47,"")))</f>
        <v/>
      </c>
      <c r="X47" s="51" t="str">
        <f aca="false">IF(W47="","",W47-U47-V47)</f>
        <v/>
      </c>
      <c r="Y47" s="51" t="str">
        <f aca="false">IF(OR(M47="",N47="",R47="",S47="",T47=""),"",ABS(M47-N47)/S47*T47*R47+U47+V47)</f>
        <v/>
      </c>
      <c r="Z47" s="52" t="str">
        <f aca="false">IF(OR(X47="",Y47="",Y47=0),"",X47/Y47)</f>
        <v/>
      </c>
      <c r="AA47" s="50"/>
      <c r="AB47" s="50"/>
      <c r="AC47" s="44"/>
      <c r="AD47" s="44"/>
      <c r="AE47" s="44"/>
      <c r="AF47" s="44"/>
      <c r="AG47" s="44"/>
      <c r="AH47" s="44"/>
      <c r="AI47" s="44"/>
      <c r="AJ47" s="52" t="str">
        <f aca="false">IF(B47="","",SUM($Z$6:Z47))</f>
        <v/>
      </c>
      <c r="AK47" s="52" t="str">
        <f aca="false">IF(AJ47="","",MAX($AJ$6:AJ47))</f>
        <v/>
      </c>
      <c r="AL47" s="52" t="str">
        <f aca="false">IF(AJ47="","",AJ47-AK47)</f>
        <v/>
      </c>
    </row>
    <row r="48" customFormat="false" ht="15" hidden="false" customHeight="false" outlineLevel="0" collapsed="false">
      <c r="A48" s="44"/>
      <c r="B48" s="45"/>
      <c r="C48" s="44"/>
      <c r="D48" s="44"/>
      <c r="E48" s="44"/>
      <c r="F48" s="44"/>
      <c r="G48" s="44"/>
      <c r="H48" s="44"/>
      <c r="I48" s="44"/>
      <c r="J48" s="44"/>
      <c r="K48" s="44"/>
      <c r="L48" s="46"/>
      <c r="M48" s="47"/>
      <c r="N48" s="47"/>
      <c r="O48" s="47"/>
      <c r="P48" s="47"/>
      <c r="Q48" s="47"/>
      <c r="R48" s="48"/>
      <c r="S48" s="49" t="str">
        <f aca="false">IF(E48="","",IFERROR(VLOOKUP(E48,Lists!$A$5:$C$8,2,FALSE()),""))</f>
        <v/>
      </c>
      <c r="T48" s="49" t="str">
        <f aca="false">IF(E48="","",IFERROR(VLOOKUP(E48,Lists!$A$5:$C$8,3,FALSE()),""))</f>
        <v/>
      </c>
      <c r="U48" s="50"/>
      <c r="V48" s="50"/>
      <c r="W48" s="51" t="str">
        <f aca="false">IF(OR(M48="",Q48="",R48="",S48="",T48=""),"",IF(H48="Long",(Q48-M48)/S48*T48*R48,IF(H48="Short",(M48-Q48)/S48*T48*R48,"")))</f>
        <v/>
      </c>
      <c r="X48" s="51" t="str">
        <f aca="false">IF(W48="","",W48-U48-V48)</f>
        <v/>
      </c>
      <c r="Y48" s="51" t="str">
        <f aca="false">IF(OR(M48="",N48="",R48="",S48="",T48=""),"",ABS(M48-N48)/S48*T48*R48+U48+V48)</f>
        <v/>
      </c>
      <c r="Z48" s="52" t="str">
        <f aca="false">IF(OR(X48="",Y48="",Y48=0),"",X48/Y48)</f>
        <v/>
      </c>
      <c r="AA48" s="50"/>
      <c r="AB48" s="50"/>
      <c r="AC48" s="44"/>
      <c r="AD48" s="44"/>
      <c r="AE48" s="44"/>
      <c r="AF48" s="44"/>
      <c r="AG48" s="44"/>
      <c r="AH48" s="44"/>
      <c r="AI48" s="44"/>
      <c r="AJ48" s="52" t="str">
        <f aca="false">IF(B48="","",SUM($Z$6:Z48))</f>
        <v/>
      </c>
      <c r="AK48" s="52" t="str">
        <f aca="false">IF(AJ48="","",MAX($AJ$6:AJ48))</f>
        <v/>
      </c>
      <c r="AL48" s="52" t="str">
        <f aca="false">IF(AJ48="","",AJ48-AK48)</f>
        <v/>
      </c>
    </row>
    <row r="49" customFormat="false" ht="15" hidden="false" customHeight="false" outlineLevel="0" collapsed="false">
      <c r="A49" s="44"/>
      <c r="B49" s="45"/>
      <c r="C49" s="44"/>
      <c r="D49" s="44"/>
      <c r="E49" s="44"/>
      <c r="F49" s="44"/>
      <c r="G49" s="44"/>
      <c r="H49" s="44"/>
      <c r="I49" s="44"/>
      <c r="J49" s="44"/>
      <c r="K49" s="44"/>
      <c r="L49" s="46"/>
      <c r="M49" s="47"/>
      <c r="N49" s="47"/>
      <c r="O49" s="47"/>
      <c r="P49" s="47"/>
      <c r="Q49" s="47"/>
      <c r="R49" s="48"/>
      <c r="S49" s="49" t="str">
        <f aca="false">IF(E49="","",IFERROR(VLOOKUP(E49,Lists!$A$5:$C$8,2,FALSE()),""))</f>
        <v/>
      </c>
      <c r="T49" s="49" t="str">
        <f aca="false">IF(E49="","",IFERROR(VLOOKUP(E49,Lists!$A$5:$C$8,3,FALSE()),""))</f>
        <v/>
      </c>
      <c r="U49" s="50"/>
      <c r="V49" s="50"/>
      <c r="W49" s="51" t="str">
        <f aca="false">IF(OR(M49="",Q49="",R49="",S49="",T49=""),"",IF(H49="Long",(Q49-M49)/S49*T49*R49,IF(H49="Short",(M49-Q49)/S49*T49*R49,"")))</f>
        <v/>
      </c>
      <c r="X49" s="51" t="str">
        <f aca="false">IF(W49="","",W49-U49-V49)</f>
        <v/>
      </c>
      <c r="Y49" s="51" t="str">
        <f aca="false">IF(OR(M49="",N49="",R49="",S49="",T49=""),"",ABS(M49-N49)/S49*T49*R49+U49+V49)</f>
        <v/>
      </c>
      <c r="Z49" s="52" t="str">
        <f aca="false">IF(OR(X49="",Y49="",Y49=0),"",X49/Y49)</f>
        <v/>
      </c>
      <c r="AA49" s="50"/>
      <c r="AB49" s="50"/>
      <c r="AC49" s="44"/>
      <c r="AD49" s="44"/>
      <c r="AE49" s="44"/>
      <c r="AF49" s="44"/>
      <c r="AG49" s="44"/>
      <c r="AH49" s="44"/>
      <c r="AI49" s="44"/>
      <c r="AJ49" s="52" t="str">
        <f aca="false">IF(B49="","",SUM($Z$6:Z49))</f>
        <v/>
      </c>
      <c r="AK49" s="52" t="str">
        <f aca="false">IF(AJ49="","",MAX($AJ$6:AJ49))</f>
        <v/>
      </c>
      <c r="AL49" s="52" t="str">
        <f aca="false">IF(AJ49="","",AJ49-AK49)</f>
        <v/>
      </c>
    </row>
    <row r="50" customFormat="false" ht="15" hidden="false" customHeight="false" outlineLevel="0" collapsed="false">
      <c r="A50" s="44"/>
      <c r="B50" s="45"/>
      <c r="C50" s="44"/>
      <c r="D50" s="44"/>
      <c r="E50" s="44"/>
      <c r="F50" s="44"/>
      <c r="G50" s="44"/>
      <c r="H50" s="44"/>
      <c r="I50" s="44"/>
      <c r="J50" s="44"/>
      <c r="K50" s="44"/>
      <c r="L50" s="46"/>
      <c r="M50" s="47"/>
      <c r="N50" s="47"/>
      <c r="O50" s="47"/>
      <c r="P50" s="47"/>
      <c r="Q50" s="47"/>
      <c r="R50" s="48"/>
      <c r="S50" s="49" t="str">
        <f aca="false">IF(E50="","",IFERROR(VLOOKUP(E50,Lists!$A$5:$C$8,2,FALSE()),""))</f>
        <v/>
      </c>
      <c r="T50" s="49" t="str">
        <f aca="false">IF(E50="","",IFERROR(VLOOKUP(E50,Lists!$A$5:$C$8,3,FALSE()),""))</f>
        <v/>
      </c>
      <c r="U50" s="50"/>
      <c r="V50" s="50"/>
      <c r="W50" s="51" t="str">
        <f aca="false">IF(OR(M50="",Q50="",R50="",S50="",T50=""),"",IF(H50="Long",(Q50-M50)/S50*T50*R50,IF(H50="Short",(M50-Q50)/S50*T50*R50,"")))</f>
        <v/>
      </c>
      <c r="X50" s="51" t="str">
        <f aca="false">IF(W50="","",W50-U50-V50)</f>
        <v/>
      </c>
      <c r="Y50" s="51" t="str">
        <f aca="false">IF(OR(M50="",N50="",R50="",S50="",T50=""),"",ABS(M50-N50)/S50*T50*R50+U50+V50)</f>
        <v/>
      </c>
      <c r="Z50" s="52" t="str">
        <f aca="false">IF(OR(X50="",Y50="",Y50=0),"",X50/Y50)</f>
        <v/>
      </c>
      <c r="AA50" s="50"/>
      <c r="AB50" s="50"/>
      <c r="AC50" s="44"/>
      <c r="AD50" s="44"/>
      <c r="AE50" s="44"/>
      <c r="AF50" s="44"/>
      <c r="AG50" s="44"/>
      <c r="AH50" s="44"/>
      <c r="AI50" s="44"/>
      <c r="AJ50" s="52" t="str">
        <f aca="false">IF(B50="","",SUM($Z$6:Z50))</f>
        <v/>
      </c>
      <c r="AK50" s="52" t="str">
        <f aca="false">IF(AJ50="","",MAX($AJ$6:AJ50))</f>
        <v/>
      </c>
      <c r="AL50" s="52" t="str">
        <f aca="false">IF(AJ50="","",AJ50-AK50)</f>
        <v/>
      </c>
    </row>
    <row r="51" customFormat="false" ht="15" hidden="false" customHeight="false" outlineLevel="0" collapsed="false">
      <c r="A51" s="44"/>
      <c r="B51" s="45"/>
      <c r="C51" s="44"/>
      <c r="D51" s="44"/>
      <c r="E51" s="44"/>
      <c r="F51" s="44"/>
      <c r="G51" s="44"/>
      <c r="H51" s="44"/>
      <c r="I51" s="44"/>
      <c r="J51" s="44"/>
      <c r="K51" s="44"/>
      <c r="L51" s="46"/>
      <c r="M51" s="47"/>
      <c r="N51" s="47"/>
      <c r="O51" s="47"/>
      <c r="P51" s="47"/>
      <c r="Q51" s="47"/>
      <c r="R51" s="48"/>
      <c r="S51" s="49" t="str">
        <f aca="false">IF(E51="","",IFERROR(VLOOKUP(E51,Lists!$A$5:$C$8,2,FALSE()),""))</f>
        <v/>
      </c>
      <c r="T51" s="49" t="str">
        <f aca="false">IF(E51="","",IFERROR(VLOOKUP(E51,Lists!$A$5:$C$8,3,FALSE()),""))</f>
        <v/>
      </c>
      <c r="U51" s="50"/>
      <c r="V51" s="50"/>
      <c r="W51" s="51" t="str">
        <f aca="false">IF(OR(M51="",Q51="",R51="",S51="",T51=""),"",IF(H51="Long",(Q51-M51)/S51*T51*R51,IF(H51="Short",(M51-Q51)/S51*T51*R51,"")))</f>
        <v/>
      </c>
      <c r="X51" s="51" t="str">
        <f aca="false">IF(W51="","",W51-U51-V51)</f>
        <v/>
      </c>
      <c r="Y51" s="51" t="str">
        <f aca="false">IF(OR(M51="",N51="",R51="",S51="",T51=""),"",ABS(M51-N51)/S51*T51*R51+U51+V51)</f>
        <v/>
      </c>
      <c r="Z51" s="52" t="str">
        <f aca="false">IF(OR(X51="",Y51="",Y51=0),"",X51/Y51)</f>
        <v/>
      </c>
      <c r="AA51" s="50"/>
      <c r="AB51" s="50"/>
      <c r="AC51" s="44"/>
      <c r="AD51" s="44"/>
      <c r="AE51" s="44"/>
      <c r="AF51" s="44"/>
      <c r="AG51" s="44"/>
      <c r="AH51" s="44"/>
      <c r="AI51" s="44"/>
      <c r="AJ51" s="52" t="str">
        <f aca="false">IF(B51="","",SUM($Z$6:Z51))</f>
        <v/>
      </c>
      <c r="AK51" s="52" t="str">
        <f aca="false">IF(AJ51="","",MAX($AJ$6:AJ51))</f>
        <v/>
      </c>
      <c r="AL51" s="52" t="str">
        <f aca="false">IF(AJ51="","",AJ51-AK51)</f>
        <v/>
      </c>
    </row>
    <row r="52" customFormat="false" ht="15" hidden="false" customHeight="false" outlineLevel="0" collapsed="false">
      <c r="A52" s="44"/>
      <c r="B52" s="45"/>
      <c r="C52" s="44"/>
      <c r="D52" s="44"/>
      <c r="E52" s="44"/>
      <c r="F52" s="44"/>
      <c r="G52" s="44"/>
      <c r="H52" s="44"/>
      <c r="I52" s="44"/>
      <c r="J52" s="44"/>
      <c r="K52" s="44"/>
      <c r="L52" s="46"/>
      <c r="M52" s="47"/>
      <c r="N52" s="47"/>
      <c r="O52" s="47"/>
      <c r="P52" s="47"/>
      <c r="Q52" s="47"/>
      <c r="R52" s="48"/>
      <c r="S52" s="49" t="str">
        <f aca="false">IF(E52="","",IFERROR(VLOOKUP(E52,Lists!$A$5:$C$8,2,FALSE()),""))</f>
        <v/>
      </c>
      <c r="T52" s="49" t="str">
        <f aca="false">IF(E52="","",IFERROR(VLOOKUP(E52,Lists!$A$5:$C$8,3,FALSE()),""))</f>
        <v/>
      </c>
      <c r="U52" s="50"/>
      <c r="V52" s="50"/>
      <c r="W52" s="51" t="str">
        <f aca="false">IF(OR(M52="",Q52="",R52="",S52="",T52=""),"",IF(H52="Long",(Q52-M52)/S52*T52*R52,IF(H52="Short",(M52-Q52)/S52*T52*R52,"")))</f>
        <v/>
      </c>
      <c r="X52" s="51" t="str">
        <f aca="false">IF(W52="","",W52-U52-V52)</f>
        <v/>
      </c>
      <c r="Y52" s="51" t="str">
        <f aca="false">IF(OR(M52="",N52="",R52="",S52="",T52=""),"",ABS(M52-N52)/S52*T52*R52+U52+V52)</f>
        <v/>
      </c>
      <c r="Z52" s="52" t="str">
        <f aca="false">IF(OR(X52="",Y52="",Y52=0),"",X52/Y52)</f>
        <v/>
      </c>
      <c r="AA52" s="50"/>
      <c r="AB52" s="50"/>
      <c r="AC52" s="44"/>
      <c r="AD52" s="44"/>
      <c r="AE52" s="44"/>
      <c r="AF52" s="44"/>
      <c r="AG52" s="44"/>
      <c r="AH52" s="44"/>
      <c r="AI52" s="44"/>
      <c r="AJ52" s="52" t="str">
        <f aca="false">IF(B52="","",SUM($Z$6:Z52))</f>
        <v/>
      </c>
      <c r="AK52" s="52" t="str">
        <f aca="false">IF(AJ52="","",MAX($AJ$6:AJ52))</f>
        <v/>
      </c>
      <c r="AL52" s="52" t="str">
        <f aca="false">IF(AJ52="","",AJ52-AK52)</f>
        <v/>
      </c>
    </row>
    <row r="53" customFormat="false" ht="15" hidden="false" customHeight="false" outlineLevel="0" collapsed="false">
      <c r="A53" s="44"/>
      <c r="B53" s="45"/>
      <c r="C53" s="44"/>
      <c r="D53" s="44"/>
      <c r="E53" s="44"/>
      <c r="F53" s="44"/>
      <c r="G53" s="44"/>
      <c r="H53" s="44"/>
      <c r="I53" s="44"/>
      <c r="J53" s="44"/>
      <c r="K53" s="44"/>
      <c r="L53" s="46"/>
      <c r="M53" s="47"/>
      <c r="N53" s="47"/>
      <c r="O53" s="47"/>
      <c r="P53" s="47"/>
      <c r="Q53" s="47"/>
      <c r="R53" s="48"/>
      <c r="S53" s="49" t="str">
        <f aca="false">IF(E53="","",IFERROR(VLOOKUP(E53,Lists!$A$5:$C$8,2,FALSE()),""))</f>
        <v/>
      </c>
      <c r="T53" s="49" t="str">
        <f aca="false">IF(E53="","",IFERROR(VLOOKUP(E53,Lists!$A$5:$C$8,3,FALSE()),""))</f>
        <v/>
      </c>
      <c r="U53" s="50"/>
      <c r="V53" s="50"/>
      <c r="W53" s="51" t="str">
        <f aca="false">IF(OR(M53="",Q53="",R53="",S53="",T53=""),"",IF(H53="Long",(Q53-M53)/S53*T53*R53,IF(H53="Short",(M53-Q53)/S53*T53*R53,"")))</f>
        <v/>
      </c>
      <c r="X53" s="51" t="str">
        <f aca="false">IF(W53="","",W53-U53-V53)</f>
        <v/>
      </c>
      <c r="Y53" s="51" t="str">
        <f aca="false">IF(OR(M53="",N53="",R53="",S53="",T53=""),"",ABS(M53-N53)/S53*T53*R53+U53+V53)</f>
        <v/>
      </c>
      <c r="Z53" s="52" t="str">
        <f aca="false">IF(OR(X53="",Y53="",Y53=0),"",X53/Y53)</f>
        <v/>
      </c>
      <c r="AA53" s="50"/>
      <c r="AB53" s="50"/>
      <c r="AC53" s="44"/>
      <c r="AD53" s="44"/>
      <c r="AE53" s="44"/>
      <c r="AF53" s="44"/>
      <c r="AG53" s="44"/>
      <c r="AH53" s="44"/>
      <c r="AI53" s="44"/>
      <c r="AJ53" s="52" t="str">
        <f aca="false">IF(B53="","",SUM($Z$6:Z53))</f>
        <v/>
      </c>
      <c r="AK53" s="52" t="str">
        <f aca="false">IF(AJ53="","",MAX($AJ$6:AJ53))</f>
        <v/>
      </c>
      <c r="AL53" s="52" t="str">
        <f aca="false">IF(AJ53="","",AJ53-AK53)</f>
        <v/>
      </c>
    </row>
    <row r="54" customFormat="false" ht="15" hidden="false" customHeight="false" outlineLevel="0" collapsed="false">
      <c r="A54" s="44"/>
      <c r="B54" s="45"/>
      <c r="C54" s="44"/>
      <c r="D54" s="44"/>
      <c r="E54" s="44"/>
      <c r="F54" s="44"/>
      <c r="G54" s="44"/>
      <c r="H54" s="44"/>
      <c r="I54" s="44"/>
      <c r="J54" s="44"/>
      <c r="K54" s="44"/>
      <c r="L54" s="46"/>
      <c r="M54" s="47"/>
      <c r="N54" s="47"/>
      <c r="O54" s="47"/>
      <c r="P54" s="47"/>
      <c r="Q54" s="47"/>
      <c r="R54" s="48"/>
      <c r="S54" s="49" t="str">
        <f aca="false">IF(E54="","",IFERROR(VLOOKUP(E54,Lists!$A$5:$C$8,2,FALSE()),""))</f>
        <v/>
      </c>
      <c r="T54" s="49" t="str">
        <f aca="false">IF(E54="","",IFERROR(VLOOKUP(E54,Lists!$A$5:$C$8,3,FALSE()),""))</f>
        <v/>
      </c>
      <c r="U54" s="50"/>
      <c r="V54" s="50"/>
      <c r="W54" s="51" t="str">
        <f aca="false">IF(OR(M54="",Q54="",R54="",S54="",T54=""),"",IF(H54="Long",(Q54-M54)/S54*T54*R54,IF(H54="Short",(M54-Q54)/S54*T54*R54,"")))</f>
        <v/>
      </c>
      <c r="X54" s="51" t="str">
        <f aca="false">IF(W54="","",W54-U54-V54)</f>
        <v/>
      </c>
      <c r="Y54" s="51" t="str">
        <f aca="false">IF(OR(M54="",N54="",R54="",S54="",T54=""),"",ABS(M54-N54)/S54*T54*R54+U54+V54)</f>
        <v/>
      </c>
      <c r="Z54" s="52" t="str">
        <f aca="false">IF(OR(X54="",Y54="",Y54=0),"",X54/Y54)</f>
        <v/>
      </c>
      <c r="AA54" s="50"/>
      <c r="AB54" s="50"/>
      <c r="AC54" s="44"/>
      <c r="AD54" s="44"/>
      <c r="AE54" s="44"/>
      <c r="AF54" s="44"/>
      <c r="AG54" s="44"/>
      <c r="AH54" s="44"/>
      <c r="AI54" s="44"/>
      <c r="AJ54" s="52" t="str">
        <f aca="false">IF(B54="","",SUM($Z$6:Z54))</f>
        <v/>
      </c>
      <c r="AK54" s="52" t="str">
        <f aca="false">IF(AJ54="","",MAX($AJ$6:AJ54))</f>
        <v/>
      </c>
      <c r="AL54" s="52" t="str">
        <f aca="false">IF(AJ54="","",AJ54-AK54)</f>
        <v/>
      </c>
    </row>
    <row r="55" customFormat="false" ht="15" hidden="false" customHeight="false" outlineLevel="0" collapsed="false">
      <c r="A55" s="44"/>
      <c r="B55" s="45"/>
      <c r="C55" s="44"/>
      <c r="D55" s="44"/>
      <c r="E55" s="44"/>
      <c r="F55" s="44"/>
      <c r="G55" s="44"/>
      <c r="H55" s="44"/>
      <c r="I55" s="44"/>
      <c r="J55" s="44"/>
      <c r="K55" s="44"/>
      <c r="L55" s="46"/>
      <c r="M55" s="47"/>
      <c r="N55" s="47"/>
      <c r="O55" s="47"/>
      <c r="P55" s="47"/>
      <c r="Q55" s="47"/>
      <c r="R55" s="48"/>
      <c r="S55" s="49" t="str">
        <f aca="false">IF(E55="","",IFERROR(VLOOKUP(E55,Lists!$A$5:$C$8,2,FALSE()),""))</f>
        <v/>
      </c>
      <c r="T55" s="49" t="str">
        <f aca="false">IF(E55="","",IFERROR(VLOOKUP(E55,Lists!$A$5:$C$8,3,FALSE()),""))</f>
        <v/>
      </c>
      <c r="U55" s="50"/>
      <c r="V55" s="50"/>
      <c r="W55" s="51" t="str">
        <f aca="false">IF(OR(M55="",Q55="",R55="",S55="",T55=""),"",IF(H55="Long",(Q55-M55)/S55*T55*R55,IF(H55="Short",(M55-Q55)/S55*T55*R55,"")))</f>
        <v/>
      </c>
      <c r="X55" s="51" t="str">
        <f aca="false">IF(W55="","",W55-U55-V55)</f>
        <v/>
      </c>
      <c r="Y55" s="51" t="str">
        <f aca="false">IF(OR(M55="",N55="",R55="",S55="",T55=""),"",ABS(M55-N55)/S55*T55*R55+U55+V55)</f>
        <v/>
      </c>
      <c r="Z55" s="52" t="str">
        <f aca="false">IF(OR(X55="",Y55="",Y55=0),"",X55/Y55)</f>
        <v/>
      </c>
      <c r="AA55" s="50"/>
      <c r="AB55" s="50"/>
      <c r="AC55" s="44"/>
      <c r="AD55" s="44"/>
      <c r="AE55" s="44"/>
      <c r="AF55" s="44"/>
      <c r="AG55" s="44"/>
      <c r="AH55" s="44"/>
      <c r="AI55" s="44"/>
      <c r="AJ55" s="52" t="str">
        <f aca="false">IF(B55="","",SUM($Z$6:Z55))</f>
        <v/>
      </c>
      <c r="AK55" s="52" t="str">
        <f aca="false">IF(AJ55="","",MAX($AJ$6:AJ55))</f>
        <v/>
      </c>
      <c r="AL55" s="52" t="str">
        <f aca="false">IF(AJ55="","",AJ55-AK55)</f>
        <v/>
      </c>
    </row>
    <row r="56" customFormat="false" ht="15" hidden="false" customHeight="false" outlineLevel="0" collapsed="false">
      <c r="A56" s="44"/>
      <c r="B56" s="45"/>
      <c r="C56" s="44"/>
      <c r="D56" s="44"/>
      <c r="E56" s="44"/>
      <c r="F56" s="44"/>
      <c r="G56" s="44"/>
      <c r="H56" s="44"/>
      <c r="I56" s="44"/>
      <c r="J56" s="44"/>
      <c r="K56" s="44"/>
      <c r="L56" s="46"/>
      <c r="M56" s="47"/>
      <c r="N56" s="47"/>
      <c r="O56" s="47"/>
      <c r="P56" s="47"/>
      <c r="Q56" s="47"/>
      <c r="R56" s="48"/>
      <c r="S56" s="49" t="str">
        <f aca="false">IF(E56="","",IFERROR(VLOOKUP(E56,Lists!$A$5:$C$8,2,FALSE()),""))</f>
        <v/>
      </c>
      <c r="T56" s="49" t="str">
        <f aca="false">IF(E56="","",IFERROR(VLOOKUP(E56,Lists!$A$5:$C$8,3,FALSE()),""))</f>
        <v/>
      </c>
      <c r="U56" s="50"/>
      <c r="V56" s="50"/>
      <c r="W56" s="51" t="str">
        <f aca="false">IF(OR(M56="",Q56="",R56="",S56="",T56=""),"",IF(H56="Long",(Q56-M56)/S56*T56*R56,IF(H56="Short",(M56-Q56)/S56*T56*R56,"")))</f>
        <v/>
      </c>
      <c r="X56" s="51" t="str">
        <f aca="false">IF(W56="","",W56-U56-V56)</f>
        <v/>
      </c>
      <c r="Y56" s="51" t="str">
        <f aca="false">IF(OR(M56="",N56="",R56="",S56="",T56=""),"",ABS(M56-N56)/S56*T56*R56+U56+V56)</f>
        <v/>
      </c>
      <c r="Z56" s="52" t="str">
        <f aca="false">IF(OR(X56="",Y56="",Y56=0),"",X56/Y56)</f>
        <v/>
      </c>
      <c r="AA56" s="50"/>
      <c r="AB56" s="50"/>
      <c r="AC56" s="44"/>
      <c r="AD56" s="44"/>
      <c r="AE56" s="44"/>
      <c r="AF56" s="44"/>
      <c r="AG56" s="44"/>
      <c r="AH56" s="44"/>
      <c r="AI56" s="44"/>
      <c r="AJ56" s="52" t="str">
        <f aca="false">IF(B56="","",SUM($Z$6:Z56))</f>
        <v/>
      </c>
      <c r="AK56" s="52" t="str">
        <f aca="false">IF(AJ56="","",MAX($AJ$6:AJ56))</f>
        <v/>
      </c>
      <c r="AL56" s="52" t="str">
        <f aca="false">IF(AJ56="","",AJ56-AK56)</f>
        <v/>
      </c>
    </row>
    <row r="57" customFormat="false" ht="15" hidden="false" customHeight="false" outlineLevel="0" collapsed="false">
      <c r="A57" s="44"/>
      <c r="B57" s="45"/>
      <c r="C57" s="44"/>
      <c r="D57" s="44"/>
      <c r="E57" s="44"/>
      <c r="F57" s="44"/>
      <c r="G57" s="44"/>
      <c r="H57" s="44"/>
      <c r="I57" s="44"/>
      <c r="J57" s="44"/>
      <c r="K57" s="44"/>
      <c r="L57" s="46"/>
      <c r="M57" s="47"/>
      <c r="N57" s="47"/>
      <c r="O57" s="47"/>
      <c r="P57" s="47"/>
      <c r="Q57" s="47"/>
      <c r="R57" s="48"/>
      <c r="S57" s="49" t="str">
        <f aca="false">IF(E57="","",IFERROR(VLOOKUP(E57,Lists!$A$5:$C$8,2,FALSE()),""))</f>
        <v/>
      </c>
      <c r="T57" s="49" t="str">
        <f aca="false">IF(E57="","",IFERROR(VLOOKUP(E57,Lists!$A$5:$C$8,3,FALSE()),""))</f>
        <v/>
      </c>
      <c r="U57" s="50"/>
      <c r="V57" s="50"/>
      <c r="W57" s="51" t="str">
        <f aca="false">IF(OR(M57="",Q57="",R57="",S57="",T57=""),"",IF(H57="Long",(Q57-M57)/S57*T57*R57,IF(H57="Short",(M57-Q57)/S57*T57*R57,"")))</f>
        <v/>
      </c>
      <c r="X57" s="51" t="str">
        <f aca="false">IF(W57="","",W57-U57-V57)</f>
        <v/>
      </c>
      <c r="Y57" s="51" t="str">
        <f aca="false">IF(OR(M57="",N57="",R57="",S57="",T57=""),"",ABS(M57-N57)/S57*T57*R57+U57+V57)</f>
        <v/>
      </c>
      <c r="Z57" s="52" t="str">
        <f aca="false">IF(OR(X57="",Y57="",Y57=0),"",X57/Y57)</f>
        <v/>
      </c>
      <c r="AA57" s="50"/>
      <c r="AB57" s="50"/>
      <c r="AC57" s="44"/>
      <c r="AD57" s="44"/>
      <c r="AE57" s="44"/>
      <c r="AF57" s="44"/>
      <c r="AG57" s="44"/>
      <c r="AH57" s="44"/>
      <c r="AI57" s="44"/>
      <c r="AJ57" s="52" t="str">
        <f aca="false">IF(B57="","",SUM($Z$6:Z57))</f>
        <v/>
      </c>
      <c r="AK57" s="52" t="str">
        <f aca="false">IF(AJ57="","",MAX($AJ$6:AJ57))</f>
        <v/>
      </c>
      <c r="AL57" s="52" t="str">
        <f aca="false">IF(AJ57="","",AJ57-AK57)</f>
        <v/>
      </c>
    </row>
    <row r="58" customFormat="false" ht="15" hidden="false" customHeight="false" outlineLevel="0" collapsed="false">
      <c r="A58" s="44"/>
      <c r="B58" s="45"/>
      <c r="C58" s="44"/>
      <c r="D58" s="44"/>
      <c r="E58" s="44"/>
      <c r="F58" s="44"/>
      <c r="G58" s="44"/>
      <c r="H58" s="44"/>
      <c r="I58" s="44"/>
      <c r="J58" s="44"/>
      <c r="K58" s="44"/>
      <c r="L58" s="46"/>
      <c r="M58" s="47"/>
      <c r="N58" s="47"/>
      <c r="O58" s="47"/>
      <c r="P58" s="47"/>
      <c r="Q58" s="47"/>
      <c r="R58" s="48"/>
      <c r="S58" s="49" t="str">
        <f aca="false">IF(E58="","",IFERROR(VLOOKUP(E58,Lists!$A$5:$C$8,2,FALSE()),""))</f>
        <v/>
      </c>
      <c r="T58" s="49" t="str">
        <f aca="false">IF(E58="","",IFERROR(VLOOKUP(E58,Lists!$A$5:$C$8,3,FALSE()),""))</f>
        <v/>
      </c>
      <c r="U58" s="50"/>
      <c r="V58" s="50"/>
      <c r="W58" s="51" t="str">
        <f aca="false">IF(OR(M58="",Q58="",R58="",S58="",T58=""),"",IF(H58="Long",(Q58-M58)/S58*T58*R58,IF(H58="Short",(M58-Q58)/S58*T58*R58,"")))</f>
        <v/>
      </c>
      <c r="X58" s="51" t="str">
        <f aca="false">IF(W58="","",W58-U58-V58)</f>
        <v/>
      </c>
      <c r="Y58" s="51" t="str">
        <f aca="false">IF(OR(M58="",N58="",R58="",S58="",T58=""),"",ABS(M58-N58)/S58*T58*R58+U58+V58)</f>
        <v/>
      </c>
      <c r="Z58" s="52" t="str">
        <f aca="false">IF(OR(X58="",Y58="",Y58=0),"",X58/Y58)</f>
        <v/>
      </c>
      <c r="AA58" s="50"/>
      <c r="AB58" s="50"/>
      <c r="AC58" s="44"/>
      <c r="AD58" s="44"/>
      <c r="AE58" s="44"/>
      <c r="AF58" s="44"/>
      <c r="AG58" s="44"/>
      <c r="AH58" s="44"/>
      <c r="AI58" s="44"/>
      <c r="AJ58" s="52" t="str">
        <f aca="false">IF(B58="","",SUM($Z$6:Z58))</f>
        <v/>
      </c>
      <c r="AK58" s="52" t="str">
        <f aca="false">IF(AJ58="","",MAX($AJ$6:AJ58))</f>
        <v/>
      </c>
      <c r="AL58" s="52" t="str">
        <f aca="false">IF(AJ58="","",AJ58-AK58)</f>
        <v/>
      </c>
    </row>
    <row r="59" customFormat="false" ht="15" hidden="false" customHeight="false" outlineLevel="0" collapsed="false">
      <c r="A59" s="44"/>
      <c r="B59" s="45"/>
      <c r="C59" s="44"/>
      <c r="D59" s="44"/>
      <c r="E59" s="44"/>
      <c r="F59" s="44"/>
      <c r="G59" s="44"/>
      <c r="H59" s="44"/>
      <c r="I59" s="44"/>
      <c r="J59" s="44"/>
      <c r="K59" s="44"/>
      <c r="L59" s="46"/>
      <c r="M59" s="47"/>
      <c r="N59" s="47"/>
      <c r="O59" s="47"/>
      <c r="P59" s="47"/>
      <c r="Q59" s="47"/>
      <c r="R59" s="48"/>
      <c r="S59" s="49" t="str">
        <f aca="false">IF(E59="","",IFERROR(VLOOKUP(E59,Lists!$A$5:$C$8,2,FALSE()),""))</f>
        <v/>
      </c>
      <c r="T59" s="49" t="str">
        <f aca="false">IF(E59="","",IFERROR(VLOOKUP(E59,Lists!$A$5:$C$8,3,FALSE()),""))</f>
        <v/>
      </c>
      <c r="U59" s="50"/>
      <c r="V59" s="50"/>
      <c r="W59" s="51" t="str">
        <f aca="false">IF(OR(M59="",Q59="",R59="",S59="",T59=""),"",IF(H59="Long",(Q59-M59)/S59*T59*R59,IF(H59="Short",(M59-Q59)/S59*T59*R59,"")))</f>
        <v/>
      </c>
      <c r="X59" s="51" t="str">
        <f aca="false">IF(W59="","",W59-U59-V59)</f>
        <v/>
      </c>
      <c r="Y59" s="51" t="str">
        <f aca="false">IF(OR(M59="",N59="",R59="",S59="",T59=""),"",ABS(M59-N59)/S59*T59*R59+U59+V59)</f>
        <v/>
      </c>
      <c r="Z59" s="52" t="str">
        <f aca="false">IF(OR(X59="",Y59="",Y59=0),"",X59/Y59)</f>
        <v/>
      </c>
      <c r="AA59" s="50"/>
      <c r="AB59" s="50"/>
      <c r="AC59" s="44"/>
      <c r="AD59" s="44"/>
      <c r="AE59" s="44"/>
      <c r="AF59" s="44"/>
      <c r="AG59" s="44"/>
      <c r="AH59" s="44"/>
      <c r="AI59" s="44"/>
      <c r="AJ59" s="52" t="str">
        <f aca="false">IF(B59="","",SUM($Z$6:Z59))</f>
        <v/>
      </c>
      <c r="AK59" s="52" t="str">
        <f aca="false">IF(AJ59="","",MAX($AJ$6:AJ59))</f>
        <v/>
      </c>
      <c r="AL59" s="52" t="str">
        <f aca="false">IF(AJ59="","",AJ59-AK59)</f>
        <v/>
      </c>
    </row>
    <row r="60" customFormat="false" ht="15" hidden="false" customHeight="false" outlineLevel="0" collapsed="false">
      <c r="A60" s="44"/>
      <c r="B60" s="45"/>
      <c r="C60" s="44"/>
      <c r="D60" s="44"/>
      <c r="E60" s="44"/>
      <c r="F60" s="44"/>
      <c r="G60" s="44"/>
      <c r="H60" s="44"/>
      <c r="I60" s="44"/>
      <c r="J60" s="44"/>
      <c r="K60" s="44"/>
      <c r="L60" s="46"/>
      <c r="M60" s="47"/>
      <c r="N60" s="47"/>
      <c r="O60" s="47"/>
      <c r="P60" s="47"/>
      <c r="Q60" s="47"/>
      <c r="R60" s="48"/>
      <c r="S60" s="49" t="str">
        <f aca="false">IF(E60="","",IFERROR(VLOOKUP(E60,Lists!$A$5:$C$8,2,FALSE()),""))</f>
        <v/>
      </c>
      <c r="T60" s="49" t="str">
        <f aca="false">IF(E60="","",IFERROR(VLOOKUP(E60,Lists!$A$5:$C$8,3,FALSE()),""))</f>
        <v/>
      </c>
      <c r="U60" s="50"/>
      <c r="V60" s="50"/>
      <c r="W60" s="51" t="str">
        <f aca="false">IF(OR(M60="",Q60="",R60="",S60="",T60=""),"",IF(H60="Long",(Q60-M60)/S60*T60*R60,IF(H60="Short",(M60-Q60)/S60*T60*R60,"")))</f>
        <v/>
      </c>
      <c r="X60" s="51" t="str">
        <f aca="false">IF(W60="","",W60-U60-V60)</f>
        <v/>
      </c>
      <c r="Y60" s="51" t="str">
        <f aca="false">IF(OR(M60="",N60="",R60="",S60="",T60=""),"",ABS(M60-N60)/S60*T60*R60+U60+V60)</f>
        <v/>
      </c>
      <c r="Z60" s="52" t="str">
        <f aca="false">IF(OR(X60="",Y60="",Y60=0),"",X60/Y60)</f>
        <v/>
      </c>
      <c r="AA60" s="50"/>
      <c r="AB60" s="50"/>
      <c r="AC60" s="44"/>
      <c r="AD60" s="44"/>
      <c r="AE60" s="44"/>
      <c r="AF60" s="44"/>
      <c r="AG60" s="44"/>
      <c r="AH60" s="44"/>
      <c r="AI60" s="44"/>
      <c r="AJ60" s="52" t="str">
        <f aca="false">IF(B60="","",SUM($Z$6:Z60))</f>
        <v/>
      </c>
      <c r="AK60" s="52" t="str">
        <f aca="false">IF(AJ60="","",MAX($AJ$6:AJ60))</f>
        <v/>
      </c>
      <c r="AL60" s="52" t="str">
        <f aca="false">IF(AJ60="","",AJ60-AK60)</f>
        <v/>
      </c>
    </row>
    <row r="61" customFormat="false" ht="15" hidden="false" customHeight="false" outlineLevel="0" collapsed="false">
      <c r="A61" s="44"/>
      <c r="B61" s="45"/>
      <c r="C61" s="44"/>
      <c r="D61" s="44"/>
      <c r="E61" s="44"/>
      <c r="F61" s="44"/>
      <c r="G61" s="44"/>
      <c r="H61" s="44"/>
      <c r="I61" s="44"/>
      <c r="J61" s="44"/>
      <c r="K61" s="44"/>
      <c r="L61" s="46"/>
      <c r="M61" s="47"/>
      <c r="N61" s="47"/>
      <c r="O61" s="47"/>
      <c r="P61" s="47"/>
      <c r="Q61" s="47"/>
      <c r="R61" s="48"/>
      <c r="S61" s="49" t="str">
        <f aca="false">IF(E61="","",IFERROR(VLOOKUP(E61,Lists!$A$5:$C$8,2,FALSE()),""))</f>
        <v/>
      </c>
      <c r="T61" s="49" t="str">
        <f aca="false">IF(E61="","",IFERROR(VLOOKUP(E61,Lists!$A$5:$C$8,3,FALSE()),""))</f>
        <v/>
      </c>
      <c r="U61" s="50"/>
      <c r="V61" s="50"/>
      <c r="W61" s="51" t="str">
        <f aca="false">IF(OR(M61="",Q61="",R61="",S61="",T61=""),"",IF(H61="Long",(Q61-M61)/S61*T61*R61,IF(H61="Short",(M61-Q61)/S61*T61*R61,"")))</f>
        <v/>
      </c>
      <c r="X61" s="51" t="str">
        <f aca="false">IF(W61="","",W61-U61-V61)</f>
        <v/>
      </c>
      <c r="Y61" s="51" t="str">
        <f aca="false">IF(OR(M61="",N61="",R61="",S61="",T61=""),"",ABS(M61-N61)/S61*T61*R61+U61+V61)</f>
        <v/>
      </c>
      <c r="Z61" s="52" t="str">
        <f aca="false">IF(OR(X61="",Y61="",Y61=0),"",X61/Y61)</f>
        <v/>
      </c>
      <c r="AA61" s="50"/>
      <c r="AB61" s="50"/>
      <c r="AC61" s="44"/>
      <c r="AD61" s="44"/>
      <c r="AE61" s="44"/>
      <c r="AF61" s="44"/>
      <c r="AG61" s="44"/>
      <c r="AH61" s="44"/>
      <c r="AI61" s="44"/>
      <c r="AJ61" s="52" t="str">
        <f aca="false">IF(B61="","",SUM($Z$6:Z61))</f>
        <v/>
      </c>
      <c r="AK61" s="52" t="str">
        <f aca="false">IF(AJ61="","",MAX($AJ$6:AJ61))</f>
        <v/>
      </c>
      <c r="AL61" s="52" t="str">
        <f aca="false">IF(AJ61="","",AJ61-AK61)</f>
        <v/>
      </c>
    </row>
    <row r="62" customFormat="false" ht="15" hidden="false" customHeight="false" outlineLevel="0" collapsed="false">
      <c r="A62" s="44"/>
      <c r="B62" s="45"/>
      <c r="C62" s="44"/>
      <c r="D62" s="44"/>
      <c r="E62" s="44"/>
      <c r="F62" s="44"/>
      <c r="G62" s="44"/>
      <c r="H62" s="44"/>
      <c r="I62" s="44"/>
      <c r="J62" s="44"/>
      <c r="K62" s="44"/>
      <c r="L62" s="46"/>
      <c r="M62" s="47"/>
      <c r="N62" s="47"/>
      <c r="O62" s="47"/>
      <c r="P62" s="47"/>
      <c r="Q62" s="47"/>
      <c r="R62" s="48"/>
      <c r="S62" s="49" t="str">
        <f aca="false">IF(E62="","",IFERROR(VLOOKUP(E62,Lists!$A$5:$C$8,2,FALSE()),""))</f>
        <v/>
      </c>
      <c r="T62" s="49" t="str">
        <f aca="false">IF(E62="","",IFERROR(VLOOKUP(E62,Lists!$A$5:$C$8,3,FALSE()),""))</f>
        <v/>
      </c>
      <c r="U62" s="50"/>
      <c r="V62" s="50"/>
      <c r="W62" s="51" t="str">
        <f aca="false">IF(OR(M62="",Q62="",R62="",S62="",T62=""),"",IF(H62="Long",(Q62-M62)/S62*T62*R62,IF(H62="Short",(M62-Q62)/S62*T62*R62,"")))</f>
        <v/>
      </c>
      <c r="X62" s="51" t="str">
        <f aca="false">IF(W62="","",W62-U62-V62)</f>
        <v/>
      </c>
      <c r="Y62" s="51" t="str">
        <f aca="false">IF(OR(M62="",N62="",R62="",S62="",T62=""),"",ABS(M62-N62)/S62*T62*R62+U62+V62)</f>
        <v/>
      </c>
      <c r="Z62" s="52" t="str">
        <f aca="false">IF(OR(X62="",Y62="",Y62=0),"",X62/Y62)</f>
        <v/>
      </c>
      <c r="AA62" s="50"/>
      <c r="AB62" s="50"/>
      <c r="AC62" s="44"/>
      <c r="AD62" s="44"/>
      <c r="AE62" s="44"/>
      <c r="AF62" s="44"/>
      <c r="AG62" s="44"/>
      <c r="AH62" s="44"/>
      <c r="AI62" s="44"/>
      <c r="AJ62" s="52" t="str">
        <f aca="false">IF(B62="","",SUM($Z$6:Z62))</f>
        <v/>
      </c>
      <c r="AK62" s="52" t="str">
        <f aca="false">IF(AJ62="","",MAX($AJ$6:AJ62))</f>
        <v/>
      </c>
      <c r="AL62" s="52" t="str">
        <f aca="false">IF(AJ62="","",AJ62-AK62)</f>
        <v/>
      </c>
    </row>
    <row r="63" customFormat="false" ht="15" hidden="false" customHeight="false" outlineLevel="0" collapsed="false">
      <c r="A63" s="44"/>
      <c r="B63" s="45"/>
      <c r="C63" s="44"/>
      <c r="D63" s="44"/>
      <c r="E63" s="44"/>
      <c r="F63" s="44"/>
      <c r="G63" s="44"/>
      <c r="H63" s="44"/>
      <c r="I63" s="44"/>
      <c r="J63" s="44"/>
      <c r="K63" s="44"/>
      <c r="L63" s="46"/>
      <c r="M63" s="47"/>
      <c r="N63" s="47"/>
      <c r="O63" s="47"/>
      <c r="P63" s="47"/>
      <c r="Q63" s="47"/>
      <c r="R63" s="48"/>
      <c r="S63" s="49" t="str">
        <f aca="false">IF(E63="","",IFERROR(VLOOKUP(E63,Lists!$A$5:$C$8,2,FALSE()),""))</f>
        <v/>
      </c>
      <c r="T63" s="49" t="str">
        <f aca="false">IF(E63="","",IFERROR(VLOOKUP(E63,Lists!$A$5:$C$8,3,FALSE()),""))</f>
        <v/>
      </c>
      <c r="U63" s="50"/>
      <c r="V63" s="50"/>
      <c r="W63" s="51" t="str">
        <f aca="false">IF(OR(M63="",Q63="",R63="",S63="",T63=""),"",IF(H63="Long",(Q63-M63)/S63*T63*R63,IF(H63="Short",(M63-Q63)/S63*T63*R63,"")))</f>
        <v/>
      </c>
      <c r="X63" s="51" t="str">
        <f aca="false">IF(W63="","",W63-U63-V63)</f>
        <v/>
      </c>
      <c r="Y63" s="51" t="str">
        <f aca="false">IF(OR(M63="",N63="",R63="",S63="",T63=""),"",ABS(M63-N63)/S63*T63*R63+U63+V63)</f>
        <v/>
      </c>
      <c r="Z63" s="52" t="str">
        <f aca="false">IF(OR(X63="",Y63="",Y63=0),"",X63/Y63)</f>
        <v/>
      </c>
      <c r="AA63" s="50"/>
      <c r="AB63" s="50"/>
      <c r="AC63" s="44"/>
      <c r="AD63" s="44"/>
      <c r="AE63" s="44"/>
      <c r="AF63" s="44"/>
      <c r="AG63" s="44"/>
      <c r="AH63" s="44"/>
      <c r="AI63" s="44"/>
      <c r="AJ63" s="52" t="str">
        <f aca="false">IF(B63="","",SUM($Z$6:Z63))</f>
        <v/>
      </c>
      <c r="AK63" s="52" t="str">
        <f aca="false">IF(AJ63="","",MAX($AJ$6:AJ63))</f>
        <v/>
      </c>
      <c r="AL63" s="52" t="str">
        <f aca="false">IF(AJ63="","",AJ63-AK63)</f>
        <v/>
      </c>
    </row>
    <row r="64" customFormat="false" ht="15" hidden="false" customHeight="false" outlineLevel="0" collapsed="false">
      <c r="A64" s="44"/>
      <c r="B64" s="45"/>
      <c r="C64" s="44"/>
      <c r="D64" s="44"/>
      <c r="E64" s="44"/>
      <c r="F64" s="44"/>
      <c r="G64" s="44"/>
      <c r="H64" s="44"/>
      <c r="I64" s="44"/>
      <c r="J64" s="44"/>
      <c r="K64" s="44"/>
      <c r="L64" s="46"/>
      <c r="M64" s="47"/>
      <c r="N64" s="47"/>
      <c r="O64" s="47"/>
      <c r="P64" s="47"/>
      <c r="Q64" s="47"/>
      <c r="R64" s="48"/>
      <c r="S64" s="49" t="str">
        <f aca="false">IF(E64="","",IFERROR(VLOOKUP(E64,Lists!$A$5:$C$8,2,FALSE()),""))</f>
        <v/>
      </c>
      <c r="T64" s="49" t="str">
        <f aca="false">IF(E64="","",IFERROR(VLOOKUP(E64,Lists!$A$5:$C$8,3,FALSE()),""))</f>
        <v/>
      </c>
      <c r="U64" s="50"/>
      <c r="V64" s="50"/>
      <c r="W64" s="51" t="str">
        <f aca="false">IF(OR(M64="",Q64="",R64="",S64="",T64=""),"",IF(H64="Long",(Q64-M64)/S64*T64*R64,IF(H64="Short",(M64-Q64)/S64*T64*R64,"")))</f>
        <v/>
      </c>
      <c r="X64" s="51" t="str">
        <f aca="false">IF(W64="","",W64-U64-V64)</f>
        <v/>
      </c>
      <c r="Y64" s="51" t="str">
        <f aca="false">IF(OR(M64="",N64="",R64="",S64="",T64=""),"",ABS(M64-N64)/S64*T64*R64+U64+V64)</f>
        <v/>
      </c>
      <c r="Z64" s="52" t="str">
        <f aca="false">IF(OR(X64="",Y64="",Y64=0),"",X64/Y64)</f>
        <v/>
      </c>
      <c r="AA64" s="50"/>
      <c r="AB64" s="50"/>
      <c r="AC64" s="44"/>
      <c r="AD64" s="44"/>
      <c r="AE64" s="44"/>
      <c r="AF64" s="44"/>
      <c r="AG64" s="44"/>
      <c r="AH64" s="44"/>
      <c r="AI64" s="44"/>
      <c r="AJ64" s="52" t="str">
        <f aca="false">IF(B64="","",SUM($Z$6:Z64))</f>
        <v/>
      </c>
      <c r="AK64" s="52" t="str">
        <f aca="false">IF(AJ64="","",MAX($AJ$6:AJ64))</f>
        <v/>
      </c>
      <c r="AL64" s="52" t="str">
        <f aca="false">IF(AJ64="","",AJ64-AK64)</f>
        <v/>
      </c>
    </row>
    <row r="65" customFormat="false" ht="15" hidden="false" customHeight="false" outlineLevel="0" collapsed="false">
      <c r="A65" s="44"/>
      <c r="B65" s="45"/>
      <c r="C65" s="44"/>
      <c r="D65" s="44"/>
      <c r="E65" s="44"/>
      <c r="F65" s="44"/>
      <c r="G65" s="44"/>
      <c r="H65" s="44"/>
      <c r="I65" s="44"/>
      <c r="J65" s="44"/>
      <c r="K65" s="44"/>
      <c r="L65" s="46"/>
      <c r="M65" s="47"/>
      <c r="N65" s="47"/>
      <c r="O65" s="47"/>
      <c r="P65" s="47"/>
      <c r="Q65" s="47"/>
      <c r="R65" s="48"/>
      <c r="S65" s="49" t="str">
        <f aca="false">IF(E65="","",IFERROR(VLOOKUP(E65,Lists!$A$5:$C$8,2,FALSE()),""))</f>
        <v/>
      </c>
      <c r="T65" s="49" t="str">
        <f aca="false">IF(E65="","",IFERROR(VLOOKUP(E65,Lists!$A$5:$C$8,3,FALSE()),""))</f>
        <v/>
      </c>
      <c r="U65" s="50"/>
      <c r="V65" s="50"/>
      <c r="W65" s="51" t="str">
        <f aca="false">IF(OR(M65="",Q65="",R65="",S65="",T65=""),"",IF(H65="Long",(Q65-M65)/S65*T65*R65,IF(H65="Short",(M65-Q65)/S65*T65*R65,"")))</f>
        <v/>
      </c>
      <c r="X65" s="51" t="str">
        <f aca="false">IF(W65="","",W65-U65-V65)</f>
        <v/>
      </c>
      <c r="Y65" s="51" t="str">
        <f aca="false">IF(OR(M65="",N65="",R65="",S65="",T65=""),"",ABS(M65-N65)/S65*T65*R65+U65+V65)</f>
        <v/>
      </c>
      <c r="Z65" s="52" t="str">
        <f aca="false">IF(OR(X65="",Y65="",Y65=0),"",X65/Y65)</f>
        <v/>
      </c>
      <c r="AA65" s="50"/>
      <c r="AB65" s="50"/>
      <c r="AC65" s="44"/>
      <c r="AD65" s="44"/>
      <c r="AE65" s="44"/>
      <c r="AF65" s="44"/>
      <c r="AG65" s="44"/>
      <c r="AH65" s="44"/>
      <c r="AI65" s="44"/>
      <c r="AJ65" s="52" t="str">
        <f aca="false">IF(B65="","",SUM($Z$6:Z65))</f>
        <v/>
      </c>
      <c r="AK65" s="52" t="str">
        <f aca="false">IF(AJ65="","",MAX($AJ$6:AJ65))</f>
        <v/>
      </c>
      <c r="AL65" s="52" t="str">
        <f aca="false">IF(AJ65="","",AJ65-AK65)</f>
        <v/>
      </c>
    </row>
    <row r="66" customFormat="false" ht="15" hidden="false" customHeight="false" outlineLevel="0" collapsed="false">
      <c r="A66" s="44"/>
      <c r="B66" s="45"/>
      <c r="C66" s="44"/>
      <c r="D66" s="44"/>
      <c r="E66" s="44"/>
      <c r="F66" s="44"/>
      <c r="G66" s="44"/>
      <c r="H66" s="44"/>
      <c r="I66" s="44"/>
      <c r="J66" s="44"/>
      <c r="K66" s="44"/>
      <c r="L66" s="46"/>
      <c r="M66" s="47"/>
      <c r="N66" s="47"/>
      <c r="O66" s="47"/>
      <c r="P66" s="47"/>
      <c r="Q66" s="47"/>
      <c r="R66" s="48"/>
      <c r="S66" s="49" t="str">
        <f aca="false">IF(E66="","",IFERROR(VLOOKUP(E66,Lists!$A$5:$C$8,2,FALSE()),""))</f>
        <v/>
      </c>
      <c r="T66" s="49" t="str">
        <f aca="false">IF(E66="","",IFERROR(VLOOKUP(E66,Lists!$A$5:$C$8,3,FALSE()),""))</f>
        <v/>
      </c>
      <c r="U66" s="50"/>
      <c r="V66" s="50"/>
      <c r="W66" s="51" t="str">
        <f aca="false">IF(OR(M66="",Q66="",R66="",S66="",T66=""),"",IF(H66="Long",(Q66-M66)/S66*T66*R66,IF(H66="Short",(M66-Q66)/S66*T66*R66,"")))</f>
        <v/>
      </c>
      <c r="X66" s="51" t="str">
        <f aca="false">IF(W66="","",W66-U66-V66)</f>
        <v/>
      </c>
      <c r="Y66" s="51" t="str">
        <f aca="false">IF(OR(M66="",N66="",R66="",S66="",T66=""),"",ABS(M66-N66)/S66*T66*R66+U66+V66)</f>
        <v/>
      </c>
      <c r="Z66" s="52" t="str">
        <f aca="false">IF(OR(X66="",Y66="",Y66=0),"",X66/Y66)</f>
        <v/>
      </c>
      <c r="AA66" s="50"/>
      <c r="AB66" s="50"/>
      <c r="AC66" s="44"/>
      <c r="AD66" s="44"/>
      <c r="AE66" s="44"/>
      <c r="AF66" s="44"/>
      <c r="AG66" s="44"/>
      <c r="AH66" s="44"/>
      <c r="AI66" s="44"/>
      <c r="AJ66" s="52" t="str">
        <f aca="false">IF(B66="","",SUM($Z$6:Z66))</f>
        <v/>
      </c>
      <c r="AK66" s="52" t="str">
        <f aca="false">IF(AJ66="","",MAX($AJ$6:AJ66))</f>
        <v/>
      </c>
      <c r="AL66" s="52" t="str">
        <f aca="false">IF(AJ66="","",AJ66-AK66)</f>
        <v/>
      </c>
    </row>
    <row r="67" customFormat="false" ht="15" hidden="false" customHeight="false" outlineLevel="0" collapsed="false">
      <c r="A67" s="44"/>
      <c r="B67" s="45"/>
      <c r="C67" s="44"/>
      <c r="D67" s="44"/>
      <c r="E67" s="44"/>
      <c r="F67" s="44"/>
      <c r="G67" s="44"/>
      <c r="H67" s="44"/>
      <c r="I67" s="44"/>
      <c r="J67" s="44"/>
      <c r="K67" s="44"/>
      <c r="L67" s="46"/>
      <c r="M67" s="47"/>
      <c r="N67" s="47"/>
      <c r="O67" s="47"/>
      <c r="P67" s="47"/>
      <c r="Q67" s="47"/>
      <c r="R67" s="48"/>
      <c r="S67" s="49" t="str">
        <f aca="false">IF(E67="","",IFERROR(VLOOKUP(E67,Lists!$A$5:$C$8,2,FALSE()),""))</f>
        <v/>
      </c>
      <c r="T67" s="49" t="str">
        <f aca="false">IF(E67="","",IFERROR(VLOOKUP(E67,Lists!$A$5:$C$8,3,FALSE()),""))</f>
        <v/>
      </c>
      <c r="U67" s="50"/>
      <c r="V67" s="50"/>
      <c r="W67" s="51" t="str">
        <f aca="false">IF(OR(M67="",Q67="",R67="",S67="",T67=""),"",IF(H67="Long",(Q67-M67)/S67*T67*R67,IF(H67="Short",(M67-Q67)/S67*T67*R67,"")))</f>
        <v/>
      </c>
      <c r="X67" s="51" t="str">
        <f aca="false">IF(W67="","",W67-U67-V67)</f>
        <v/>
      </c>
      <c r="Y67" s="51" t="str">
        <f aca="false">IF(OR(M67="",N67="",R67="",S67="",T67=""),"",ABS(M67-N67)/S67*T67*R67+U67+V67)</f>
        <v/>
      </c>
      <c r="Z67" s="52" t="str">
        <f aca="false">IF(OR(X67="",Y67="",Y67=0),"",X67/Y67)</f>
        <v/>
      </c>
      <c r="AA67" s="50"/>
      <c r="AB67" s="50"/>
      <c r="AC67" s="44"/>
      <c r="AD67" s="44"/>
      <c r="AE67" s="44"/>
      <c r="AF67" s="44"/>
      <c r="AG67" s="44"/>
      <c r="AH67" s="44"/>
      <c r="AI67" s="44"/>
      <c r="AJ67" s="52" t="str">
        <f aca="false">IF(B67="","",SUM($Z$6:Z67))</f>
        <v/>
      </c>
      <c r="AK67" s="52" t="str">
        <f aca="false">IF(AJ67="","",MAX($AJ$6:AJ67))</f>
        <v/>
      </c>
      <c r="AL67" s="52" t="str">
        <f aca="false">IF(AJ67="","",AJ67-AK67)</f>
        <v/>
      </c>
    </row>
    <row r="68" customFormat="false" ht="15" hidden="false" customHeight="false" outlineLevel="0" collapsed="false">
      <c r="A68" s="44"/>
      <c r="B68" s="45"/>
      <c r="C68" s="44"/>
      <c r="D68" s="44"/>
      <c r="E68" s="44"/>
      <c r="F68" s="44"/>
      <c r="G68" s="44"/>
      <c r="H68" s="44"/>
      <c r="I68" s="44"/>
      <c r="J68" s="44"/>
      <c r="K68" s="44"/>
      <c r="L68" s="46"/>
      <c r="M68" s="47"/>
      <c r="N68" s="47"/>
      <c r="O68" s="47"/>
      <c r="P68" s="47"/>
      <c r="Q68" s="47"/>
      <c r="R68" s="48"/>
      <c r="S68" s="49" t="str">
        <f aca="false">IF(E68="","",IFERROR(VLOOKUP(E68,Lists!$A$5:$C$8,2,FALSE()),""))</f>
        <v/>
      </c>
      <c r="T68" s="49" t="str">
        <f aca="false">IF(E68="","",IFERROR(VLOOKUP(E68,Lists!$A$5:$C$8,3,FALSE()),""))</f>
        <v/>
      </c>
      <c r="U68" s="50"/>
      <c r="V68" s="50"/>
      <c r="W68" s="51" t="str">
        <f aca="false">IF(OR(M68="",Q68="",R68="",S68="",T68=""),"",IF(H68="Long",(Q68-M68)/S68*T68*R68,IF(H68="Short",(M68-Q68)/S68*T68*R68,"")))</f>
        <v/>
      </c>
      <c r="X68" s="51" t="str">
        <f aca="false">IF(W68="","",W68-U68-V68)</f>
        <v/>
      </c>
      <c r="Y68" s="51" t="str">
        <f aca="false">IF(OR(M68="",N68="",R68="",S68="",T68=""),"",ABS(M68-N68)/S68*T68*R68+U68+V68)</f>
        <v/>
      </c>
      <c r="Z68" s="52" t="str">
        <f aca="false">IF(OR(X68="",Y68="",Y68=0),"",X68/Y68)</f>
        <v/>
      </c>
      <c r="AA68" s="50"/>
      <c r="AB68" s="50"/>
      <c r="AC68" s="44"/>
      <c r="AD68" s="44"/>
      <c r="AE68" s="44"/>
      <c r="AF68" s="44"/>
      <c r="AG68" s="44"/>
      <c r="AH68" s="44"/>
      <c r="AI68" s="44"/>
      <c r="AJ68" s="52" t="str">
        <f aca="false">IF(B68="","",SUM($Z$6:Z68))</f>
        <v/>
      </c>
      <c r="AK68" s="52" t="str">
        <f aca="false">IF(AJ68="","",MAX($AJ$6:AJ68))</f>
        <v/>
      </c>
      <c r="AL68" s="52" t="str">
        <f aca="false">IF(AJ68="","",AJ68-AK68)</f>
        <v/>
      </c>
    </row>
    <row r="69" customFormat="false" ht="15" hidden="false" customHeight="false" outlineLevel="0" collapsed="false">
      <c r="A69" s="44"/>
      <c r="B69" s="45"/>
      <c r="C69" s="44"/>
      <c r="D69" s="44"/>
      <c r="E69" s="44"/>
      <c r="F69" s="44"/>
      <c r="G69" s="44"/>
      <c r="H69" s="44"/>
      <c r="I69" s="44"/>
      <c r="J69" s="44"/>
      <c r="K69" s="44"/>
      <c r="L69" s="46"/>
      <c r="M69" s="47"/>
      <c r="N69" s="47"/>
      <c r="O69" s="47"/>
      <c r="P69" s="47"/>
      <c r="Q69" s="47"/>
      <c r="R69" s="48"/>
      <c r="S69" s="49" t="str">
        <f aca="false">IF(E69="","",IFERROR(VLOOKUP(E69,Lists!$A$5:$C$8,2,FALSE()),""))</f>
        <v/>
      </c>
      <c r="T69" s="49" t="str">
        <f aca="false">IF(E69="","",IFERROR(VLOOKUP(E69,Lists!$A$5:$C$8,3,FALSE()),""))</f>
        <v/>
      </c>
      <c r="U69" s="50"/>
      <c r="V69" s="50"/>
      <c r="W69" s="51" t="str">
        <f aca="false">IF(OR(M69="",Q69="",R69="",S69="",T69=""),"",IF(H69="Long",(Q69-M69)/S69*T69*R69,IF(H69="Short",(M69-Q69)/S69*T69*R69,"")))</f>
        <v/>
      </c>
      <c r="X69" s="51" t="str">
        <f aca="false">IF(W69="","",W69-U69-V69)</f>
        <v/>
      </c>
      <c r="Y69" s="51" t="str">
        <f aca="false">IF(OR(M69="",N69="",R69="",S69="",T69=""),"",ABS(M69-N69)/S69*T69*R69+U69+V69)</f>
        <v/>
      </c>
      <c r="Z69" s="52" t="str">
        <f aca="false">IF(OR(X69="",Y69="",Y69=0),"",X69/Y69)</f>
        <v/>
      </c>
      <c r="AA69" s="50"/>
      <c r="AB69" s="50"/>
      <c r="AC69" s="44"/>
      <c r="AD69" s="44"/>
      <c r="AE69" s="44"/>
      <c r="AF69" s="44"/>
      <c r="AG69" s="44"/>
      <c r="AH69" s="44"/>
      <c r="AI69" s="44"/>
      <c r="AJ69" s="52" t="str">
        <f aca="false">IF(B69="","",SUM($Z$6:Z69))</f>
        <v/>
      </c>
      <c r="AK69" s="52" t="str">
        <f aca="false">IF(AJ69="","",MAX($AJ$6:AJ69))</f>
        <v/>
      </c>
      <c r="AL69" s="52" t="str">
        <f aca="false">IF(AJ69="","",AJ69-AK69)</f>
        <v/>
      </c>
    </row>
    <row r="70" customFormat="false" ht="15" hidden="false" customHeight="false" outlineLevel="0" collapsed="false">
      <c r="A70" s="44"/>
      <c r="B70" s="45"/>
      <c r="C70" s="44"/>
      <c r="D70" s="44"/>
      <c r="E70" s="44"/>
      <c r="F70" s="44"/>
      <c r="G70" s="44"/>
      <c r="H70" s="44"/>
      <c r="I70" s="44"/>
      <c r="J70" s="44"/>
      <c r="K70" s="44"/>
      <c r="L70" s="46"/>
      <c r="M70" s="47"/>
      <c r="N70" s="47"/>
      <c r="O70" s="47"/>
      <c r="P70" s="47"/>
      <c r="Q70" s="47"/>
      <c r="R70" s="48"/>
      <c r="S70" s="49" t="str">
        <f aca="false">IF(E70="","",IFERROR(VLOOKUP(E70,Lists!$A$5:$C$8,2,FALSE()),""))</f>
        <v/>
      </c>
      <c r="T70" s="49" t="str">
        <f aca="false">IF(E70="","",IFERROR(VLOOKUP(E70,Lists!$A$5:$C$8,3,FALSE()),""))</f>
        <v/>
      </c>
      <c r="U70" s="50"/>
      <c r="V70" s="50"/>
      <c r="W70" s="51" t="str">
        <f aca="false">IF(OR(M70="",Q70="",R70="",S70="",T70=""),"",IF(H70="Long",(Q70-M70)/S70*T70*R70,IF(H70="Short",(M70-Q70)/S70*T70*R70,"")))</f>
        <v/>
      </c>
      <c r="X70" s="51" t="str">
        <f aca="false">IF(W70="","",W70-U70-V70)</f>
        <v/>
      </c>
      <c r="Y70" s="51" t="str">
        <f aca="false">IF(OR(M70="",N70="",R70="",S70="",T70=""),"",ABS(M70-N70)/S70*T70*R70+U70+V70)</f>
        <v/>
      </c>
      <c r="Z70" s="52" t="str">
        <f aca="false">IF(OR(X70="",Y70="",Y70=0),"",X70/Y70)</f>
        <v/>
      </c>
      <c r="AA70" s="50"/>
      <c r="AB70" s="50"/>
      <c r="AC70" s="44"/>
      <c r="AD70" s="44"/>
      <c r="AE70" s="44"/>
      <c r="AF70" s="44"/>
      <c r="AG70" s="44"/>
      <c r="AH70" s="44"/>
      <c r="AI70" s="44"/>
      <c r="AJ70" s="52" t="str">
        <f aca="false">IF(B70="","",SUM($Z$6:Z70))</f>
        <v/>
      </c>
      <c r="AK70" s="52" t="str">
        <f aca="false">IF(AJ70="","",MAX($AJ$6:AJ70))</f>
        <v/>
      </c>
      <c r="AL70" s="52" t="str">
        <f aca="false">IF(AJ70="","",AJ70-AK70)</f>
        <v/>
      </c>
    </row>
    <row r="71" customFormat="false" ht="15" hidden="false" customHeight="false" outlineLevel="0" collapsed="false">
      <c r="A71" s="44"/>
      <c r="B71" s="45"/>
      <c r="C71" s="44"/>
      <c r="D71" s="44"/>
      <c r="E71" s="44"/>
      <c r="F71" s="44"/>
      <c r="G71" s="44"/>
      <c r="H71" s="44"/>
      <c r="I71" s="44"/>
      <c r="J71" s="44"/>
      <c r="K71" s="44"/>
      <c r="L71" s="46"/>
      <c r="M71" s="47"/>
      <c r="N71" s="47"/>
      <c r="O71" s="47"/>
      <c r="P71" s="47"/>
      <c r="Q71" s="47"/>
      <c r="R71" s="48"/>
      <c r="S71" s="49" t="str">
        <f aca="false">IF(E71="","",IFERROR(VLOOKUP(E71,Lists!$A$5:$C$8,2,FALSE()),""))</f>
        <v/>
      </c>
      <c r="T71" s="49" t="str">
        <f aca="false">IF(E71="","",IFERROR(VLOOKUP(E71,Lists!$A$5:$C$8,3,FALSE()),""))</f>
        <v/>
      </c>
      <c r="U71" s="50"/>
      <c r="V71" s="50"/>
      <c r="W71" s="51" t="str">
        <f aca="false">IF(OR(M71="",Q71="",R71="",S71="",T71=""),"",IF(H71="Long",(Q71-M71)/S71*T71*R71,IF(H71="Short",(M71-Q71)/S71*T71*R71,"")))</f>
        <v/>
      </c>
      <c r="X71" s="51" t="str">
        <f aca="false">IF(W71="","",W71-U71-V71)</f>
        <v/>
      </c>
      <c r="Y71" s="51" t="str">
        <f aca="false">IF(OR(M71="",N71="",R71="",S71="",T71=""),"",ABS(M71-N71)/S71*T71*R71+U71+V71)</f>
        <v/>
      </c>
      <c r="Z71" s="52" t="str">
        <f aca="false">IF(OR(X71="",Y71="",Y71=0),"",X71/Y71)</f>
        <v/>
      </c>
      <c r="AA71" s="50"/>
      <c r="AB71" s="50"/>
      <c r="AC71" s="44"/>
      <c r="AD71" s="44"/>
      <c r="AE71" s="44"/>
      <c r="AF71" s="44"/>
      <c r="AG71" s="44"/>
      <c r="AH71" s="44"/>
      <c r="AI71" s="44"/>
      <c r="AJ71" s="52" t="str">
        <f aca="false">IF(B71="","",SUM($Z$6:Z71))</f>
        <v/>
      </c>
      <c r="AK71" s="52" t="str">
        <f aca="false">IF(AJ71="","",MAX($AJ$6:AJ71))</f>
        <v/>
      </c>
      <c r="AL71" s="52" t="str">
        <f aca="false">IF(AJ71="","",AJ71-AK71)</f>
        <v/>
      </c>
    </row>
    <row r="72" customFormat="false" ht="15" hidden="false" customHeight="false" outlineLevel="0" collapsed="false">
      <c r="A72" s="44"/>
      <c r="B72" s="45"/>
      <c r="C72" s="44"/>
      <c r="D72" s="44"/>
      <c r="E72" s="44"/>
      <c r="F72" s="44"/>
      <c r="G72" s="44"/>
      <c r="H72" s="44"/>
      <c r="I72" s="44"/>
      <c r="J72" s="44"/>
      <c r="K72" s="44"/>
      <c r="L72" s="46"/>
      <c r="M72" s="47"/>
      <c r="N72" s="47"/>
      <c r="O72" s="47"/>
      <c r="P72" s="47"/>
      <c r="Q72" s="47"/>
      <c r="R72" s="48"/>
      <c r="S72" s="49" t="str">
        <f aca="false">IF(E72="","",IFERROR(VLOOKUP(E72,Lists!$A$5:$C$8,2,FALSE()),""))</f>
        <v/>
      </c>
      <c r="T72" s="49" t="str">
        <f aca="false">IF(E72="","",IFERROR(VLOOKUP(E72,Lists!$A$5:$C$8,3,FALSE()),""))</f>
        <v/>
      </c>
      <c r="U72" s="50"/>
      <c r="V72" s="50"/>
      <c r="W72" s="51" t="str">
        <f aca="false">IF(OR(M72="",Q72="",R72="",S72="",T72=""),"",IF(H72="Long",(Q72-M72)/S72*T72*R72,IF(H72="Short",(M72-Q72)/S72*T72*R72,"")))</f>
        <v/>
      </c>
      <c r="X72" s="51" t="str">
        <f aca="false">IF(W72="","",W72-U72-V72)</f>
        <v/>
      </c>
      <c r="Y72" s="51" t="str">
        <f aca="false">IF(OR(M72="",N72="",R72="",S72="",T72=""),"",ABS(M72-N72)/S72*T72*R72+U72+V72)</f>
        <v/>
      </c>
      <c r="Z72" s="52" t="str">
        <f aca="false">IF(OR(X72="",Y72="",Y72=0),"",X72/Y72)</f>
        <v/>
      </c>
      <c r="AA72" s="50"/>
      <c r="AB72" s="50"/>
      <c r="AC72" s="44"/>
      <c r="AD72" s="44"/>
      <c r="AE72" s="44"/>
      <c r="AF72" s="44"/>
      <c r="AG72" s="44"/>
      <c r="AH72" s="44"/>
      <c r="AI72" s="44"/>
      <c r="AJ72" s="52" t="str">
        <f aca="false">IF(B72="","",SUM($Z$6:Z72))</f>
        <v/>
      </c>
      <c r="AK72" s="52" t="str">
        <f aca="false">IF(AJ72="","",MAX($AJ$6:AJ72))</f>
        <v/>
      </c>
      <c r="AL72" s="52" t="str">
        <f aca="false">IF(AJ72="","",AJ72-AK72)</f>
        <v/>
      </c>
    </row>
    <row r="73" customFormat="false" ht="15" hidden="false" customHeight="false" outlineLevel="0" collapsed="false">
      <c r="A73" s="44"/>
      <c r="B73" s="45"/>
      <c r="C73" s="44"/>
      <c r="D73" s="44"/>
      <c r="E73" s="44"/>
      <c r="F73" s="44"/>
      <c r="G73" s="44"/>
      <c r="H73" s="44"/>
      <c r="I73" s="44"/>
      <c r="J73" s="44"/>
      <c r="K73" s="44"/>
      <c r="L73" s="46"/>
      <c r="M73" s="47"/>
      <c r="N73" s="47"/>
      <c r="O73" s="47"/>
      <c r="P73" s="47"/>
      <c r="Q73" s="47"/>
      <c r="R73" s="48"/>
      <c r="S73" s="49" t="str">
        <f aca="false">IF(E73="","",IFERROR(VLOOKUP(E73,Lists!$A$5:$C$8,2,FALSE()),""))</f>
        <v/>
      </c>
      <c r="T73" s="49" t="str">
        <f aca="false">IF(E73="","",IFERROR(VLOOKUP(E73,Lists!$A$5:$C$8,3,FALSE()),""))</f>
        <v/>
      </c>
      <c r="U73" s="50"/>
      <c r="V73" s="50"/>
      <c r="W73" s="51" t="str">
        <f aca="false">IF(OR(M73="",Q73="",R73="",S73="",T73=""),"",IF(H73="Long",(Q73-M73)/S73*T73*R73,IF(H73="Short",(M73-Q73)/S73*T73*R73,"")))</f>
        <v/>
      </c>
      <c r="X73" s="51" t="str">
        <f aca="false">IF(W73="","",W73-U73-V73)</f>
        <v/>
      </c>
      <c r="Y73" s="51" t="str">
        <f aca="false">IF(OR(M73="",N73="",R73="",S73="",T73=""),"",ABS(M73-N73)/S73*T73*R73+U73+V73)</f>
        <v/>
      </c>
      <c r="Z73" s="52" t="str">
        <f aca="false">IF(OR(X73="",Y73="",Y73=0),"",X73/Y73)</f>
        <v/>
      </c>
      <c r="AA73" s="50"/>
      <c r="AB73" s="50"/>
      <c r="AC73" s="44"/>
      <c r="AD73" s="44"/>
      <c r="AE73" s="44"/>
      <c r="AF73" s="44"/>
      <c r="AG73" s="44"/>
      <c r="AH73" s="44"/>
      <c r="AI73" s="44"/>
      <c r="AJ73" s="52" t="str">
        <f aca="false">IF(B73="","",SUM($Z$6:Z73))</f>
        <v/>
      </c>
      <c r="AK73" s="52" t="str">
        <f aca="false">IF(AJ73="","",MAX($AJ$6:AJ73))</f>
        <v/>
      </c>
      <c r="AL73" s="52" t="str">
        <f aca="false">IF(AJ73="","",AJ73-AK73)</f>
        <v/>
      </c>
    </row>
    <row r="74" customFormat="false" ht="15" hidden="false" customHeight="false" outlineLevel="0" collapsed="false">
      <c r="A74" s="44"/>
      <c r="B74" s="45"/>
      <c r="C74" s="44"/>
      <c r="D74" s="44"/>
      <c r="E74" s="44"/>
      <c r="F74" s="44"/>
      <c r="G74" s="44"/>
      <c r="H74" s="44"/>
      <c r="I74" s="44"/>
      <c r="J74" s="44"/>
      <c r="K74" s="44"/>
      <c r="L74" s="46"/>
      <c r="M74" s="47"/>
      <c r="N74" s="47"/>
      <c r="O74" s="47"/>
      <c r="P74" s="47"/>
      <c r="Q74" s="47"/>
      <c r="R74" s="48"/>
      <c r="S74" s="49" t="str">
        <f aca="false">IF(E74="","",IFERROR(VLOOKUP(E74,Lists!$A$5:$C$8,2,FALSE()),""))</f>
        <v/>
      </c>
      <c r="T74" s="49" t="str">
        <f aca="false">IF(E74="","",IFERROR(VLOOKUP(E74,Lists!$A$5:$C$8,3,FALSE()),""))</f>
        <v/>
      </c>
      <c r="U74" s="50"/>
      <c r="V74" s="50"/>
      <c r="W74" s="51" t="str">
        <f aca="false">IF(OR(M74="",Q74="",R74="",S74="",T74=""),"",IF(H74="Long",(Q74-M74)/S74*T74*R74,IF(H74="Short",(M74-Q74)/S74*T74*R74,"")))</f>
        <v/>
      </c>
      <c r="X74" s="51" t="str">
        <f aca="false">IF(W74="","",W74-U74-V74)</f>
        <v/>
      </c>
      <c r="Y74" s="51" t="str">
        <f aca="false">IF(OR(M74="",N74="",R74="",S74="",T74=""),"",ABS(M74-N74)/S74*T74*R74+U74+V74)</f>
        <v/>
      </c>
      <c r="Z74" s="52" t="str">
        <f aca="false">IF(OR(X74="",Y74="",Y74=0),"",X74/Y74)</f>
        <v/>
      </c>
      <c r="AA74" s="50"/>
      <c r="AB74" s="50"/>
      <c r="AC74" s="44"/>
      <c r="AD74" s="44"/>
      <c r="AE74" s="44"/>
      <c r="AF74" s="44"/>
      <c r="AG74" s="44"/>
      <c r="AH74" s="44"/>
      <c r="AI74" s="44"/>
      <c r="AJ74" s="52" t="str">
        <f aca="false">IF(B74="","",SUM($Z$6:Z74))</f>
        <v/>
      </c>
      <c r="AK74" s="52" t="str">
        <f aca="false">IF(AJ74="","",MAX($AJ$6:AJ74))</f>
        <v/>
      </c>
      <c r="AL74" s="52" t="str">
        <f aca="false">IF(AJ74="","",AJ74-AK74)</f>
        <v/>
      </c>
    </row>
    <row r="75" customFormat="false" ht="15" hidden="false" customHeight="false" outlineLevel="0" collapsed="false">
      <c r="A75" s="44"/>
      <c r="B75" s="45"/>
      <c r="C75" s="44"/>
      <c r="D75" s="44"/>
      <c r="E75" s="44"/>
      <c r="F75" s="44"/>
      <c r="G75" s="44"/>
      <c r="H75" s="44"/>
      <c r="I75" s="44"/>
      <c r="J75" s="44"/>
      <c r="K75" s="44"/>
      <c r="L75" s="46"/>
      <c r="M75" s="47"/>
      <c r="N75" s="47"/>
      <c r="O75" s="47"/>
      <c r="P75" s="47"/>
      <c r="Q75" s="47"/>
      <c r="R75" s="48"/>
      <c r="S75" s="49" t="str">
        <f aca="false">IF(E75="","",IFERROR(VLOOKUP(E75,Lists!$A$5:$C$8,2,FALSE()),""))</f>
        <v/>
      </c>
      <c r="T75" s="49" t="str">
        <f aca="false">IF(E75="","",IFERROR(VLOOKUP(E75,Lists!$A$5:$C$8,3,FALSE()),""))</f>
        <v/>
      </c>
      <c r="U75" s="50"/>
      <c r="V75" s="50"/>
      <c r="W75" s="51" t="str">
        <f aca="false">IF(OR(M75="",Q75="",R75="",S75="",T75=""),"",IF(H75="Long",(Q75-M75)/S75*T75*R75,IF(H75="Short",(M75-Q75)/S75*T75*R75,"")))</f>
        <v/>
      </c>
      <c r="X75" s="51" t="str">
        <f aca="false">IF(W75="","",W75-U75-V75)</f>
        <v/>
      </c>
      <c r="Y75" s="51" t="str">
        <f aca="false">IF(OR(M75="",N75="",R75="",S75="",T75=""),"",ABS(M75-N75)/S75*T75*R75+U75+V75)</f>
        <v/>
      </c>
      <c r="Z75" s="52" t="str">
        <f aca="false">IF(OR(X75="",Y75="",Y75=0),"",X75/Y75)</f>
        <v/>
      </c>
      <c r="AA75" s="50"/>
      <c r="AB75" s="50"/>
      <c r="AC75" s="44"/>
      <c r="AD75" s="44"/>
      <c r="AE75" s="44"/>
      <c r="AF75" s="44"/>
      <c r="AG75" s="44"/>
      <c r="AH75" s="44"/>
      <c r="AI75" s="44"/>
      <c r="AJ75" s="52" t="str">
        <f aca="false">IF(B75="","",SUM($Z$6:Z75))</f>
        <v/>
      </c>
      <c r="AK75" s="52" t="str">
        <f aca="false">IF(AJ75="","",MAX($AJ$6:AJ75))</f>
        <v/>
      </c>
      <c r="AL75" s="52" t="str">
        <f aca="false">IF(AJ75="","",AJ75-AK75)</f>
        <v/>
      </c>
    </row>
    <row r="76" customFormat="false" ht="15" hidden="false" customHeight="false" outlineLevel="0" collapsed="false">
      <c r="A76" s="44"/>
      <c r="B76" s="45"/>
      <c r="C76" s="44"/>
      <c r="D76" s="44"/>
      <c r="E76" s="44"/>
      <c r="F76" s="44"/>
      <c r="G76" s="44"/>
      <c r="H76" s="44"/>
      <c r="I76" s="44"/>
      <c r="J76" s="44"/>
      <c r="K76" s="44"/>
      <c r="L76" s="46"/>
      <c r="M76" s="47"/>
      <c r="N76" s="47"/>
      <c r="O76" s="47"/>
      <c r="P76" s="47"/>
      <c r="Q76" s="47"/>
      <c r="R76" s="48"/>
      <c r="S76" s="49" t="str">
        <f aca="false">IF(E76="","",IFERROR(VLOOKUP(E76,Lists!$A$5:$C$8,2,FALSE()),""))</f>
        <v/>
      </c>
      <c r="T76" s="49" t="str">
        <f aca="false">IF(E76="","",IFERROR(VLOOKUP(E76,Lists!$A$5:$C$8,3,FALSE()),""))</f>
        <v/>
      </c>
      <c r="U76" s="50"/>
      <c r="V76" s="50"/>
      <c r="W76" s="51" t="str">
        <f aca="false">IF(OR(M76="",Q76="",R76="",S76="",T76=""),"",IF(H76="Long",(Q76-M76)/S76*T76*R76,IF(H76="Short",(M76-Q76)/S76*T76*R76,"")))</f>
        <v/>
      </c>
      <c r="X76" s="51" t="str">
        <f aca="false">IF(W76="","",W76-U76-V76)</f>
        <v/>
      </c>
      <c r="Y76" s="51" t="str">
        <f aca="false">IF(OR(M76="",N76="",R76="",S76="",T76=""),"",ABS(M76-N76)/S76*T76*R76+U76+V76)</f>
        <v/>
      </c>
      <c r="Z76" s="52" t="str">
        <f aca="false">IF(OR(X76="",Y76="",Y76=0),"",X76/Y76)</f>
        <v/>
      </c>
      <c r="AA76" s="50"/>
      <c r="AB76" s="50"/>
      <c r="AC76" s="44"/>
      <c r="AD76" s="44"/>
      <c r="AE76" s="44"/>
      <c r="AF76" s="44"/>
      <c r="AG76" s="44"/>
      <c r="AH76" s="44"/>
      <c r="AI76" s="44"/>
      <c r="AJ76" s="52" t="str">
        <f aca="false">IF(B76="","",SUM($Z$6:Z76))</f>
        <v/>
      </c>
      <c r="AK76" s="52" t="str">
        <f aca="false">IF(AJ76="","",MAX($AJ$6:AJ76))</f>
        <v/>
      </c>
      <c r="AL76" s="52" t="str">
        <f aca="false">IF(AJ76="","",AJ76-AK76)</f>
        <v/>
      </c>
    </row>
    <row r="77" customFormat="false" ht="15" hidden="false" customHeight="false" outlineLevel="0" collapsed="false">
      <c r="A77" s="44"/>
      <c r="B77" s="45"/>
      <c r="C77" s="44"/>
      <c r="D77" s="44"/>
      <c r="E77" s="44"/>
      <c r="F77" s="44"/>
      <c r="G77" s="44"/>
      <c r="H77" s="44"/>
      <c r="I77" s="44"/>
      <c r="J77" s="44"/>
      <c r="K77" s="44"/>
      <c r="L77" s="46"/>
      <c r="M77" s="47"/>
      <c r="N77" s="47"/>
      <c r="O77" s="47"/>
      <c r="P77" s="47"/>
      <c r="Q77" s="47"/>
      <c r="R77" s="48"/>
      <c r="S77" s="49" t="str">
        <f aca="false">IF(E77="","",IFERROR(VLOOKUP(E77,Lists!$A$5:$C$8,2,FALSE()),""))</f>
        <v/>
      </c>
      <c r="T77" s="49" t="str">
        <f aca="false">IF(E77="","",IFERROR(VLOOKUP(E77,Lists!$A$5:$C$8,3,FALSE()),""))</f>
        <v/>
      </c>
      <c r="U77" s="50"/>
      <c r="V77" s="50"/>
      <c r="W77" s="51" t="str">
        <f aca="false">IF(OR(M77="",Q77="",R77="",S77="",T77=""),"",IF(H77="Long",(Q77-M77)/S77*T77*R77,IF(H77="Short",(M77-Q77)/S77*T77*R77,"")))</f>
        <v/>
      </c>
      <c r="X77" s="51" t="str">
        <f aca="false">IF(W77="","",W77-U77-V77)</f>
        <v/>
      </c>
      <c r="Y77" s="51" t="str">
        <f aca="false">IF(OR(M77="",N77="",R77="",S77="",T77=""),"",ABS(M77-N77)/S77*T77*R77+U77+V77)</f>
        <v/>
      </c>
      <c r="Z77" s="52" t="str">
        <f aca="false">IF(OR(X77="",Y77="",Y77=0),"",X77/Y77)</f>
        <v/>
      </c>
      <c r="AA77" s="50"/>
      <c r="AB77" s="50"/>
      <c r="AC77" s="44"/>
      <c r="AD77" s="44"/>
      <c r="AE77" s="44"/>
      <c r="AF77" s="44"/>
      <c r="AG77" s="44"/>
      <c r="AH77" s="44"/>
      <c r="AI77" s="44"/>
      <c r="AJ77" s="52" t="str">
        <f aca="false">IF(B77="","",SUM($Z$6:Z77))</f>
        <v/>
      </c>
      <c r="AK77" s="52" t="str">
        <f aca="false">IF(AJ77="","",MAX($AJ$6:AJ77))</f>
        <v/>
      </c>
      <c r="AL77" s="52" t="str">
        <f aca="false">IF(AJ77="","",AJ77-AK77)</f>
        <v/>
      </c>
    </row>
    <row r="78" customFormat="false" ht="15" hidden="false" customHeight="false" outlineLevel="0" collapsed="false">
      <c r="A78" s="44"/>
      <c r="B78" s="45"/>
      <c r="C78" s="44"/>
      <c r="D78" s="44"/>
      <c r="E78" s="44"/>
      <c r="F78" s="44"/>
      <c r="G78" s="44"/>
      <c r="H78" s="44"/>
      <c r="I78" s="44"/>
      <c r="J78" s="44"/>
      <c r="K78" s="44"/>
      <c r="L78" s="46"/>
      <c r="M78" s="47"/>
      <c r="N78" s="47"/>
      <c r="O78" s="47"/>
      <c r="P78" s="47"/>
      <c r="Q78" s="47"/>
      <c r="R78" s="48"/>
      <c r="S78" s="49" t="str">
        <f aca="false">IF(E78="","",IFERROR(VLOOKUP(E78,Lists!$A$5:$C$8,2,FALSE()),""))</f>
        <v/>
      </c>
      <c r="T78" s="49" t="str">
        <f aca="false">IF(E78="","",IFERROR(VLOOKUP(E78,Lists!$A$5:$C$8,3,FALSE()),""))</f>
        <v/>
      </c>
      <c r="U78" s="50"/>
      <c r="V78" s="50"/>
      <c r="W78" s="51" t="str">
        <f aca="false">IF(OR(M78="",Q78="",R78="",S78="",T78=""),"",IF(H78="Long",(Q78-M78)/S78*T78*R78,IF(H78="Short",(M78-Q78)/S78*T78*R78,"")))</f>
        <v/>
      </c>
      <c r="X78" s="51" t="str">
        <f aca="false">IF(W78="","",W78-U78-V78)</f>
        <v/>
      </c>
      <c r="Y78" s="51" t="str">
        <f aca="false">IF(OR(M78="",N78="",R78="",S78="",T78=""),"",ABS(M78-N78)/S78*T78*R78+U78+V78)</f>
        <v/>
      </c>
      <c r="Z78" s="52" t="str">
        <f aca="false">IF(OR(X78="",Y78="",Y78=0),"",X78/Y78)</f>
        <v/>
      </c>
      <c r="AA78" s="50"/>
      <c r="AB78" s="50"/>
      <c r="AC78" s="44"/>
      <c r="AD78" s="44"/>
      <c r="AE78" s="44"/>
      <c r="AF78" s="44"/>
      <c r="AG78" s="44"/>
      <c r="AH78" s="44"/>
      <c r="AI78" s="44"/>
      <c r="AJ78" s="52" t="str">
        <f aca="false">IF(B78="","",SUM($Z$6:Z78))</f>
        <v/>
      </c>
      <c r="AK78" s="52" t="str">
        <f aca="false">IF(AJ78="","",MAX($AJ$6:AJ78))</f>
        <v/>
      </c>
      <c r="AL78" s="52" t="str">
        <f aca="false">IF(AJ78="","",AJ78-AK78)</f>
        <v/>
      </c>
    </row>
    <row r="79" customFormat="false" ht="15" hidden="false" customHeight="false" outlineLevel="0" collapsed="false">
      <c r="A79" s="44"/>
      <c r="B79" s="45"/>
      <c r="C79" s="44"/>
      <c r="D79" s="44"/>
      <c r="E79" s="44"/>
      <c r="F79" s="44"/>
      <c r="G79" s="44"/>
      <c r="H79" s="44"/>
      <c r="I79" s="44"/>
      <c r="J79" s="44"/>
      <c r="K79" s="44"/>
      <c r="L79" s="46"/>
      <c r="M79" s="47"/>
      <c r="N79" s="47"/>
      <c r="O79" s="47"/>
      <c r="P79" s="47"/>
      <c r="Q79" s="47"/>
      <c r="R79" s="48"/>
      <c r="S79" s="49" t="str">
        <f aca="false">IF(E79="","",IFERROR(VLOOKUP(E79,Lists!$A$5:$C$8,2,FALSE()),""))</f>
        <v/>
      </c>
      <c r="T79" s="49" t="str">
        <f aca="false">IF(E79="","",IFERROR(VLOOKUP(E79,Lists!$A$5:$C$8,3,FALSE()),""))</f>
        <v/>
      </c>
      <c r="U79" s="50"/>
      <c r="V79" s="50"/>
      <c r="W79" s="51" t="str">
        <f aca="false">IF(OR(M79="",Q79="",R79="",S79="",T79=""),"",IF(H79="Long",(Q79-M79)/S79*T79*R79,IF(H79="Short",(M79-Q79)/S79*T79*R79,"")))</f>
        <v/>
      </c>
      <c r="X79" s="51" t="str">
        <f aca="false">IF(W79="","",W79-U79-V79)</f>
        <v/>
      </c>
      <c r="Y79" s="51" t="str">
        <f aca="false">IF(OR(M79="",N79="",R79="",S79="",T79=""),"",ABS(M79-N79)/S79*T79*R79+U79+V79)</f>
        <v/>
      </c>
      <c r="Z79" s="52" t="str">
        <f aca="false">IF(OR(X79="",Y79="",Y79=0),"",X79/Y79)</f>
        <v/>
      </c>
      <c r="AA79" s="50"/>
      <c r="AB79" s="50"/>
      <c r="AC79" s="44"/>
      <c r="AD79" s="44"/>
      <c r="AE79" s="44"/>
      <c r="AF79" s="44"/>
      <c r="AG79" s="44"/>
      <c r="AH79" s="44"/>
      <c r="AI79" s="44"/>
      <c r="AJ79" s="52" t="str">
        <f aca="false">IF(B79="","",SUM($Z$6:Z79))</f>
        <v/>
      </c>
      <c r="AK79" s="52" t="str">
        <f aca="false">IF(AJ79="","",MAX($AJ$6:AJ79))</f>
        <v/>
      </c>
      <c r="AL79" s="52" t="str">
        <f aca="false">IF(AJ79="","",AJ79-AK79)</f>
        <v/>
      </c>
    </row>
    <row r="80" customFormat="false" ht="15" hidden="false" customHeight="false" outlineLevel="0" collapsed="false">
      <c r="A80" s="44"/>
      <c r="B80" s="45"/>
      <c r="C80" s="44"/>
      <c r="D80" s="44"/>
      <c r="E80" s="44"/>
      <c r="F80" s="44"/>
      <c r="G80" s="44"/>
      <c r="H80" s="44"/>
      <c r="I80" s="44"/>
      <c r="J80" s="44"/>
      <c r="K80" s="44"/>
      <c r="L80" s="46"/>
      <c r="M80" s="47"/>
      <c r="N80" s="47"/>
      <c r="O80" s="47"/>
      <c r="P80" s="47"/>
      <c r="Q80" s="47"/>
      <c r="R80" s="48"/>
      <c r="S80" s="49" t="str">
        <f aca="false">IF(E80="","",IFERROR(VLOOKUP(E80,Lists!$A$5:$C$8,2,FALSE()),""))</f>
        <v/>
      </c>
      <c r="T80" s="49" t="str">
        <f aca="false">IF(E80="","",IFERROR(VLOOKUP(E80,Lists!$A$5:$C$8,3,FALSE()),""))</f>
        <v/>
      </c>
      <c r="U80" s="50"/>
      <c r="V80" s="50"/>
      <c r="W80" s="51" t="str">
        <f aca="false">IF(OR(M80="",Q80="",R80="",S80="",T80=""),"",IF(H80="Long",(Q80-M80)/S80*T80*R80,IF(H80="Short",(M80-Q80)/S80*T80*R80,"")))</f>
        <v/>
      </c>
      <c r="X80" s="51" t="str">
        <f aca="false">IF(W80="","",W80-U80-V80)</f>
        <v/>
      </c>
      <c r="Y80" s="51" t="str">
        <f aca="false">IF(OR(M80="",N80="",R80="",S80="",T80=""),"",ABS(M80-N80)/S80*T80*R80+U80+V80)</f>
        <v/>
      </c>
      <c r="Z80" s="52" t="str">
        <f aca="false">IF(OR(X80="",Y80="",Y80=0),"",X80/Y80)</f>
        <v/>
      </c>
      <c r="AA80" s="50"/>
      <c r="AB80" s="50"/>
      <c r="AC80" s="44"/>
      <c r="AD80" s="44"/>
      <c r="AE80" s="44"/>
      <c r="AF80" s="44"/>
      <c r="AG80" s="44"/>
      <c r="AH80" s="44"/>
      <c r="AI80" s="44"/>
      <c r="AJ80" s="52" t="str">
        <f aca="false">IF(B80="","",SUM($Z$6:Z80))</f>
        <v/>
      </c>
      <c r="AK80" s="52" t="str">
        <f aca="false">IF(AJ80="","",MAX($AJ$6:AJ80))</f>
        <v/>
      </c>
      <c r="AL80" s="52" t="str">
        <f aca="false">IF(AJ80="","",AJ80-AK80)</f>
        <v/>
      </c>
    </row>
    <row r="81" customFormat="false" ht="15" hidden="false" customHeight="false" outlineLevel="0" collapsed="false">
      <c r="A81" s="44"/>
      <c r="B81" s="45"/>
      <c r="C81" s="44"/>
      <c r="D81" s="44"/>
      <c r="E81" s="44"/>
      <c r="F81" s="44"/>
      <c r="G81" s="44"/>
      <c r="H81" s="44"/>
      <c r="I81" s="44"/>
      <c r="J81" s="44"/>
      <c r="K81" s="44"/>
      <c r="L81" s="46"/>
      <c r="M81" s="47"/>
      <c r="N81" s="47"/>
      <c r="O81" s="47"/>
      <c r="P81" s="47"/>
      <c r="Q81" s="47"/>
      <c r="R81" s="48"/>
      <c r="S81" s="49" t="str">
        <f aca="false">IF(E81="","",IFERROR(VLOOKUP(E81,Lists!$A$5:$C$8,2,FALSE()),""))</f>
        <v/>
      </c>
      <c r="T81" s="49" t="str">
        <f aca="false">IF(E81="","",IFERROR(VLOOKUP(E81,Lists!$A$5:$C$8,3,FALSE()),""))</f>
        <v/>
      </c>
      <c r="U81" s="50"/>
      <c r="V81" s="50"/>
      <c r="W81" s="51" t="str">
        <f aca="false">IF(OR(M81="",Q81="",R81="",S81="",T81=""),"",IF(H81="Long",(Q81-M81)/S81*T81*R81,IF(H81="Short",(M81-Q81)/S81*T81*R81,"")))</f>
        <v/>
      </c>
      <c r="X81" s="51" t="str">
        <f aca="false">IF(W81="","",W81-U81-V81)</f>
        <v/>
      </c>
      <c r="Y81" s="51" t="str">
        <f aca="false">IF(OR(M81="",N81="",R81="",S81="",T81=""),"",ABS(M81-N81)/S81*T81*R81+U81+V81)</f>
        <v/>
      </c>
      <c r="Z81" s="52" t="str">
        <f aca="false">IF(OR(X81="",Y81="",Y81=0),"",X81/Y81)</f>
        <v/>
      </c>
      <c r="AA81" s="50"/>
      <c r="AB81" s="50"/>
      <c r="AC81" s="44"/>
      <c r="AD81" s="44"/>
      <c r="AE81" s="44"/>
      <c r="AF81" s="44"/>
      <c r="AG81" s="44"/>
      <c r="AH81" s="44"/>
      <c r="AI81" s="44"/>
      <c r="AJ81" s="52" t="str">
        <f aca="false">IF(B81="","",SUM($Z$6:Z81))</f>
        <v/>
      </c>
      <c r="AK81" s="52" t="str">
        <f aca="false">IF(AJ81="","",MAX($AJ$6:AJ81))</f>
        <v/>
      </c>
      <c r="AL81" s="52" t="str">
        <f aca="false">IF(AJ81="","",AJ81-AK81)</f>
        <v/>
      </c>
    </row>
    <row r="82" customFormat="false" ht="15" hidden="false" customHeight="false" outlineLevel="0" collapsed="false">
      <c r="A82" s="44"/>
      <c r="B82" s="45"/>
      <c r="C82" s="44"/>
      <c r="D82" s="44"/>
      <c r="E82" s="44"/>
      <c r="F82" s="44"/>
      <c r="G82" s="44"/>
      <c r="H82" s="44"/>
      <c r="I82" s="44"/>
      <c r="J82" s="44"/>
      <c r="K82" s="44"/>
      <c r="L82" s="46"/>
      <c r="M82" s="47"/>
      <c r="N82" s="47"/>
      <c r="O82" s="47"/>
      <c r="P82" s="47"/>
      <c r="Q82" s="47"/>
      <c r="R82" s="48"/>
      <c r="S82" s="49" t="str">
        <f aca="false">IF(E82="","",IFERROR(VLOOKUP(E82,Lists!$A$5:$C$8,2,FALSE()),""))</f>
        <v/>
      </c>
      <c r="T82" s="49" t="str">
        <f aca="false">IF(E82="","",IFERROR(VLOOKUP(E82,Lists!$A$5:$C$8,3,FALSE()),""))</f>
        <v/>
      </c>
      <c r="U82" s="50"/>
      <c r="V82" s="50"/>
      <c r="W82" s="51" t="str">
        <f aca="false">IF(OR(M82="",Q82="",R82="",S82="",T82=""),"",IF(H82="Long",(Q82-M82)/S82*T82*R82,IF(H82="Short",(M82-Q82)/S82*T82*R82,"")))</f>
        <v/>
      </c>
      <c r="X82" s="51" t="str">
        <f aca="false">IF(W82="","",W82-U82-V82)</f>
        <v/>
      </c>
      <c r="Y82" s="51" t="str">
        <f aca="false">IF(OR(M82="",N82="",R82="",S82="",T82=""),"",ABS(M82-N82)/S82*T82*R82+U82+V82)</f>
        <v/>
      </c>
      <c r="Z82" s="52" t="str">
        <f aca="false">IF(OR(X82="",Y82="",Y82=0),"",X82/Y82)</f>
        <v/>
      </c>
      <c r="AA82" s="50"/>
      <c r="AB82" s="50"/>
      <c r="AC82" s="44"/>
      <c r="AD82" s="44"/>
      <c r="AE82" s="44"/>
      <c r="AF82" s="44"/>
      <c r="AG82" s="44"/>
      <c r="AH82" s="44"/>
      <c r="AI82" s="44"/>
      <c r="AJ82" s="52" t="str">
        <f aca="false">IF(B82="","",SUM($Z$6:Z82))</f>
        <v/>
      </c>
      <c r="AK82" s="52" t="str">
        <f aca="false">IF(AJ82="","",MAX($AJ$6:AJ82))</f>
        <v/>
      </c>
      <c r="AL82" s="52" t="str">
        <f aca="false">IF(AJ82="","",AJ82-AK82)</f>
        <v/>
      </c>
    </row>
    <row r="83" customFormat="false" ht="15" hidden="false" customHeight="false" outlineLevel="0" collapsed="false">
      <c r="A83" s="44"/>
      <c r="B83" s="45"/>
      <c r="C83" s="44"/>
      <c r="D83" s="44"/>
      <c r="E83" s="44"/>
      <c r="F83" s="44"/>
      <c r="G83" s="44"/>
      <c r="H83" s="44"/>
      <c r="I83" s="44"/>
      <c r="J83" s="44"/>
      <c r="K83" s="44"/>
      <c r="L83" s="46"/>
      <c r="M83" s="47"/>
      <c r="N83" s="47"/>
      <c r="O83" s="47"/>
      <c r="P83" s="47"/>
      <c r="Q83" s="47"/>
      <c r="R83" s="48"/>
      <c r="S83" s="49" t="str">
        <f aca="false">IF(E83="","",IFERROR(VLOOKUP(E83,Lists!$A$5:$C$8,2,FALSE()),""))</f>
        <v/>
      </c>
      <c r="T83" s="49" t="str">
        <f aca="false">IF(E83="","",IFERROR(VLOOKUP(E83,Lists!$A$5:$C$8,3,FALSE()),""))</f>
        <v/>
      </c>
      <c r="U83" s="50"/>
      <c r="V83" s="50"/>
      <c r="W83" s="51" t="str">
        <f aca="false">IF(OR(M83="",Q83="",R83="",S83="",T83=""),"",IF(H83="Long",(Q83-M83)/S83*T83*R83,IF(H83="Short",(M83-Q83)/S83*T83*R83,"")))</f>
        <v/>
      </c>
      <c r="X83" s="51" t="str">
        <f aca="false">IF(W83="","",W83-U83-V83)</f>
        <v/>
      </c>
      <c r="Y83" s="51" t="str">
        <f aca="false">IF(OR(M83="",N83="",R83="",S83="",T83=""),"",ABS(M83-N83)/S83*T83*R83+U83+V83)</f>
        <v/>
      </c>
      <c r="Z83" s="52" t="str">
        <f aca="false">IF(OR(X83="",Y83="",Y83=0),"",X83/Y83)</f>
        <v/>
      </c>
      <c r="AA83" s="50"/>
      <c r="AB83" s="50"/>
      <c r="AC83" s="44"/>
      <c r="AD83" s="44"/>
      <c r="AE83" s="44"/>
      <c r="AF83" s="44"/>
      <c r="AG83" s="44"/>
      <c r="AH83" s="44"/>
      <c r="AI83" s="44"/>
      <c r="AJ83" s="52" t="str">
        <f aca="false">IF(B83="","",SUM($Z$6:Z83))</f>
        <v/>
      </c>
      <c r="AK83" s="52" t="str">
        <f aca="false">IF(AJ83="","",MAX($AJ$6:AJ83))</f>
        <v/>
      </c>
      <c r="AL83" s="52" t="str">
        <f aca="false">IF(AJ83="","",AJ83-AK83)</f>
        <v/>
      </c>
    </row>
    <row r="84" customFormat="false" ht="15" hidden="false" customHeight="false" outlineLevel="0" collapsed="false">
      <c r="A84" s="44"/>
      <c r="B84" s="45"/>
      <c r="C84" s="44"/>
      <c r="D84" s="44"/>
      <c r="E84" s="44"/>
      <c r="F84" s="44"/>
      <c r="G84" s="44"/>
      <c r="H84" s="44"/>
      <c r="I84" s="44"/>
      <c r="J84" s="44"/>
      <c r="K84" s="44"/>
      <c r="L84" s="46"/>
      <c r="M84" s="47"/>
      <c r="N84" s="47"/>
      <c r="O84" s="47"/>
      <c r="P84" s="47"/>
      <c r="Q84" s="47"/>
      <c r="R84" s="48"/>
      <c r="S84" s="49" t="str">
        <f aca="false">IF(E84="","",IFERROR(VLOOKUP(E84,Lists!$A$5:$C$8,2,FALSE()),""))</f>
        <v/>
      </c>
      <c r="T84" s="49" t="str">
        <f aca="false">IF(E84="","",IFERROR(VLOOKUP(E84,Lists!$A$5:$C$8,3,FALSE()),""))</f>
        <v/>
      </c>
      <c r="U84" s="50"/>
      <c r="V84" s="50"/>
      <c r="W84" s="51" t="str">
        <f aca="false">IF(OR(M84="",Q84="",R84="",S84="",T84=""),"",IF(H84="Long",(Q84-M84)/S84*T84*R84,IF(H84="Short",(M84-Q84)/S84*T84*R84,"")))</f>
        <v/>
      </c>
      <c r="X84" s="51" t="str">
        <f aca="false">IF(W84="","",W84-U84-V84)</f>
        <v/>
      </c>
      <c r="Y84" s="51" t="str">
        <f aca="false">IF(OR(M84="",N84="",R84="",S84="",T84=""),"",ABS(M84-N84)/S84*T84*R84+U84+V84)</f>
        <v/>
      </c>
      <c r="Z84" s="52" t="str">
        <f aca="false">IF(OR(X84="",Y84="",Y84=0),"",X84/Y84)</f>
        <v/>
      </c>
      <c r="AA84" s="50"/>
      <c r="AB84" s="50"/>
      <c r="AC84" s="44"/>
      <c r="AD84" s="44"/>
      <c r="AE84" s="44"/>
      <c r="AF84" s="44"/>
      <c r="AG84" s="44"/>
      <c r="AH84" s="44"/>
      <c r="AI84" s="44"/>
      <c r="AJ84" s="52" t="str">
        <f aca="false">IF(B84="","",SUM($Z$6:Z84))</f>
        <v/>
      </c>
      <c r="AK84" s="52" t="str">
        <f aca="false">IF(AJ84="","",MAX($AJ$6:AJ84))</f>
        <v/>
      </c>
      <c r="AL84" s="52" t="str">
        <f aca="false">IF(AJ84="","",AJ84-AK84)</f>
        <v/>
      </c>
    </row>
    <row r="85" customFormat="false" ht="15" hidden="false" customHeight="false" outlineLevel="0" collapsed="false">
      <c r="A85" s="44"/>
      <c r="B85" s="45"/>
      <c r="C85" s="44"/>
      <c r="D85" s="44"/>
      <c r="E85" s="44"/>
      <c r="F85" s="44"/>
      <c r="G85" s="44"/>
      <c r="H85" s="44"/>
      <c r="I85" s="44"/>
      <c r="J85" s="44"/>
      <c r="K85" s="44"/>
      <c r="L85" s="46"/>
      <c r="M85" s="47"/>
      <c r="N85" s="47"/>
      <c r="O85" s="47"/>
      <c r="P85" s="47"/>
      <c r="Q85" s="47"/>
      <c r="R85" s="48"/>
      <c r="S85" s="49" t="str">
        <f aca="false">IF(E85="","",IFERROR(VLOOKUP(E85,Lists!$A$5:$C$8,2,FALSE()),""))</f>
        <v/>
      </c>
      <c r="T85" s="49" t="str">
        <f aca="false">IF(E85="","",IFERROR(VLOOKUP(E85,Lists!$A$5:$C$8,3,FALSE()),""))</f>
        <v/>
      </c>
      <c r="U85" s="50"/>
      <c r="V85" s="50"/>
      <c r="W85" s="51" t="str">
        <f aca="false">IF(OR(M85="",Q85="",R85="",S85="",T85=""),"",IF(H85="Long",(Q85-M85)/S85*T85*R85,IF(H85="Short",(M85-Q85)/S85*T85*R85,"")))</f>
        <v/>
      </c>
      <c r="X85" s="51" t="str">
        <f aca="false">IF(W85="","",W85-U85-V85)</f>
        <v/>
      </c>
      <c r="Y85" s="51" t="str">
        <f aca="false">IF(OR(M85="",N85="",R85="",S85="",T85=""),"",ABS(M85-N85)/S85*T85*R85+U85+V85)</f>
        <v/>
      </c>
      <c r="Z85" s="52" t="str">
        <f aca="false">IF(OR(X85="",Y85="",Y85=0),"",X85/Y85)</f>
        <v/>
      </c>
      <c r="AA85" s="50"/>
      <c r="AB85" s="50"/>
      <c r="AC85" s="44"/>
      <c r="AD85" s="44"/>
      <c r="AE85" s="44"/>
      <c r="AF85" s="44"/>
      <c r="AG85" s="44"/>
      <c r="AH85" s="44"/>
      <c r="AI85" s="44"/>
      <c r="AJ85" s="52" t="str">
        <f aca="false">IF(B85="","",SUM($Z$6:Z85))</f>
        <v/>
      </c>
      <c r="AK85" s="52" t="str">
        <f aca="false">IF(AJ85="","",MAX($AJ$6:AJ85))</f>
        <v/>
      </c>
      <c r="AL85" s="52" t="str">
        <f aca="false">IF(AJ85="","",AJ85-AK85)</f>
        <v/>
      </c>
    </row>
    <row r="86" customFormat="false" ht="15" hidden="false" customHeight="false" outlineLevel="0" collapsed="false">
      <c r="A86" s="44"/>
      <c r="B86" s="45"/>
      <c r="C86" s="44"/>
      <c r="D86" s="44"/>
      <c r="E86" s="44"/>
      <c r="F86" s="44"/>
      <c r="G86" s="44"/>
      <c r="H86" s="44"/>
      <c r="I86" s="44"/>
      <c r="J86" s="44"/>
      <c r="K86" s="44"/>
      <c r="L86" s="46"/>
      <c r="M86" s="47"/>
      <c r="N86" s="47"/>
      <c r="O86" s="47"/>
      <c r="P86" s="47"/>
      <c r="Q86" s="47"/>
      <c r="R86" s="48"/>
      <c r="S86" s="49" t="str">
        <f aca="false">IF(E86="","",IFERROR(VLOOKUP(E86,Lists!$A$5:$C$8,2,FALSE()),""))</f>
        <v/>
      </c>
      <c r="T86" s="49" t="str">
        <f aca="false">IF(E86="","",IFERROR(VLOOKUP(E86,Lists!$A$5:$C$8,3,FALSE()),""))</f>
        <v/>
      </c>
      <c r="U86" s="50"/>
      <c r="V86" s="50"/>
      <c r="W86" s="51" t="str">
        <f aca="false">IF(OR(M86="",Q86="",R86="",S86="",T86=""),"",IF(H86="Long",(Q86-M86)/S86*T86*R86,IF(H86="Short",(M86-Q86)/S86*T86*R86,"")))</f>
        <v/>
      </c>
      <c r="X86" s="51" t="str">
        <f aca="false">IF(W86="","",W86-U86-V86)</f>
        <v/>
      </c>
      <c r="Y86" s="51" t="str">
        <f aca="false">IF(OR(M86="",N86="",R86="",S86="",T86=""),"",ABS(M86-N86)/S86*T86*R86+U86+V86)</f>
        <v/>
      </c>
      <c r="Z86" s="52" t="str">
        <f aca="false">IF(OR(X86="",Y86="",Y86=0),"",X86/Y86)</f>
        <v/>
      </c>
      <c r="AA86" s="50"/>
      <c r="AB86" s="50"/>
      <c r="AC86" s="44"/>
      <c r="AD86" s="44"/>
      <c r="AE86" s="44"/>
      <c r="AF86" s="44"/>
      <c r="AG86" s="44"/>
      <c r="AH86" s="44"/>
      <c r="AI86" s="44"/>
      <c r="AJ86" s="52" t="str">
        <f aca="false">IF(B86="","",SUM($Z$6:Z86))</f>
        <v/>
      </c>
      <c r="AK86" s="52" t="str">
        <f aca="false">IF(AJ86="","",MAX($AJ$6:AJ86))</f>
        <v/>
      </c>
      <c r="AL86" s="52" t="str">
        <f aca="false">IF(AJ86="","",AJ86-AK86)</f>
        <v/>
      </c>
    </row>
    <row r="87" customFormat="false" ht="15" hidden="false" customHeight="false" outlineLevel="0" collapsed="false">
      <c r="A87" s="44"/>
      <c r="B87" s="45"/>
      <c r="C87" s="44"/>
      <c r="D87" s="44"/>
      <c r="E87" s="44"/>
      <c r="F87" s="44"/>
      <c r="G87" s="44"/>
      <c r="H87" s="44"/>
      <c r="I87" s="44"/>
      <c r="J87" s="44"/>
      <c r="K87" s="44"/>
      <c r="L87" s="46"/>
      <c r="M87" s="47"/>
      <c r="N87" s="47"/>
      <c r="O87" s="47"/>
      <c r="P87" s="47"/>
      <c r="Q87" s="47"/>
      <c r="R87" s="48"/>
      <c r="S87" s="49" t="str">
        <f aca="false">IF(E87="","",IFERROR(VLOOKUP(E87,Lists!$A$5:$C$8,2,FALSE()),""))</f>
        <v/>
      </c>
      <c r="T87" s="49" t="str">
        <f aca="false">IF(E87="","",IFERROR(VLOOKUP(E87,Lists!$A$5:$C$8,3,FALSE()),""))</f>
        <v/>
      </c>
      <c r="U87" s="50"/>
      <c r="V87" s="50"/>
      <c r="W87" s="51" t="str">
        <f aca="false">IF(OR(M87="",Q87="",R87="",S87="",T87=""),"",IF(H87="Long",(Q87-M87)/S87*T87*R87,IF(H87="Short",(M87-Q87)/S87*T87*R87,"")))</f>
        <v/>
      </c>
      <c r="X87" s="51" t="str">
        <f aca="false">IF(W87="","",W87-U87-V87)</f>
        <v/>
      </c>
      <c r="Y87" s="51" t="str">
        <f aca="false">IF(OR(M87="",N87="",R87="",S87="",T87=""),"",ABS(M87-N87)/S87*T87*R87+U87+V87)</f>
        <v/>
      </c>
      <c r="Z87" s="52" t="str">
        <f aca="false">IF(OR(X87="",Y87="",Y87=0),"",X87/Y87)</f>
        <v/>
      </c>
      <c r="AA87" s="50"/>
      <c r="AB87" s="50"/>
      <c r="AC87" s="44"/>
      <c r="AD87" s="44"/>
      <c r="AE87" s="44"/>
      <c r="AF87" s="44"/>
      <c r="AG87" s="44"/>
      <c r="AH87" s="44"/>
      <c r="AI87" s="44"/>
      <c r="AJ87" s="52" t="str">
        <f aca="false">IF(B87="","",SUM($Z$6:Z87))</f>
        <v/>
      </c>
      <c r="AK87" s="52" t="str">
        <f aca="false">IF(AJ87="","",MAX($AJ$6:AJ87))</f>
        <v/>
      </c>
      <c r="AL87" s="52" t="str">
        <f aca="false">IF(AJ87="","",AJ87-AK87)</f>
        <v/>
      </c>
    </row>
    <row r="88" customFormat="false" ht="15" hidden="false" customHeight="false" outlineLevel="0" collapsed="false">
      <c r="A88" s="44"/>
      <c r="B88" s="45"/>
      <c r="C88" s="44"/>
      <c r="D88" s="44"/>
      <c r="E88" s="44"/>
      <c r="F88" s="44"/>
      <c r="G88" s="44"/>
      <c r="H88" s="44"/>
      <c r="I88" s="44"/>
      <c r="J88" s="44"/>
      <c r="K88" s="44"/>
      <c r="L88" s="46"/>
      <c r="M88" s="47"/>
      <c r="N88" s="47"/>
      <c r="O88" s="47"/>
      <c r="P88" s="47"/>
      <c r="Q88" s="47"/>
      <c r="R88" s="48"/>
      <c r="S88" s="49" t="str">
        <f aca="false">IF(E88="","",IFERROR(VLOOKUP(E88,Lists!$A$5:$C$8,2,FALSE()),""))</f>
        <v/>
      </c>
      <c r="T88" s="49" t="str">
        <f aca="false">IF(E88="","",IFERROR(VLOOKUP(E88,Lists!$A$5:$C$8,3,FALSE()),""))</f>
        <v/>
      </c>
      <c r="U88" s="50"/>
      <c r="V88" s="50"/>
      <c r="W88" s="51" t="str">
        <f aca="false">IF(OR(M88="",Q88="",R88="",S88="",T88=""),"",IF(H88="Long",(Q88-M88)/S88*T88*R88,IF(H88="Short",(M88-Q88)/S88*T88*R88,"")))</f>
        <v/>
      </c>
      <c r="X88" s="51" t="str">
        <f aca="false">IF(W88="","",W88-U88-V88)</f>
        <v/>
      </c>
      <c r="Y88" s="51" t="str">
        <f aca="false">IF(OR(M88="",N88="",R88="",S88="",T88=""),"",ABS(M88-N88)/S88*T88*R88+U88+V88)</f>
        <v/>
      </c>
      <c r="Z88" s="52" t="str">
        <f aca="false">IF(OR(X88="",Y88="",Y88=0),"",X88/Y88)</f>
        <v/>
      </c>
      <c r="AA88" s="50"/>
      <c r="AB88" s="50"/>
      <c r="AC88" s="44"/>
      <c r="AD88" s="44"/>
      <c r="AE88" s="44"/>
      <c r="AF88" s="44"/>
      <c r="AG88" s="44"/>
      <c r="AH88" s="44"/>
      <c r="AI88" s="44"/>
      <c r="AJ88" s="52" t="str">
        <f aca="false">IF(B88="","",SUM($Z$6:Z88))</f>
        <v/>
      </c>
      <c r="AK88" s="52" t="str">
        <f aca="false">IF(AJ88="","",MAX($AJ$6:AJ88))</f>
        <v/>
      </c>
      <c r="AL88" s="52" t="str">
        <f aca="false">IF(AJ88="","",AJ88-AK88)</f>
        <v/>
      </c>
    </row>
    <row r="89" customFormat="false" ht="15" hidden="false" customHeight="false" outlineLevel="0" collapsed="false">
      <c r="A89" s="44"/>
      <c r="B89" s="45"/>
      <c r="C89" s="44"/>
      <c r="D89" s="44"/>
      <c r="E89" s="44"/>
      <c r="F89" s="44"/>
      <c r="G89" s="44"/>
      <c r="H89" s="44"/>
      <c r="I89" s="44"/>
      <c r="J89" s="44"/>
      <c r="K89" s="44"/>
      <c r="L89" s="46"/>
      <c r="M89" s="47"/>
      <c r="N89" s="47"/>
      <c r="O89" s="47"/>
      <c r="P89" s="47"/>
      <c r="Q89" s="47"/>
      <c r="R89" s="48"/>
      <c r="S89" s="49" t="str">
        <f aca="false">IF(E89="","",IFERROR(VLOOKUP(E89,Lists!$A$5:$C$8,2,FALSE()),""))</f>
        <v/>
      </c>
      <c r="T89" s="49" t="str">
        <f aca="false">IF(E89="","",IFERROR(VLOOKUP(E89,Lists!$A$5:$C$8,3,FALSE()),""))</f>
        <v/>
      </c>
      <c r="U89" s="50"/>
      <c r="V89" s="50"/>
      <c r="W89" s="51" t="str">
        <f aca="false">IF(OR(M89="",Q89="",R89="",S89="",T89=""),"",IF(H89="Long",(Q89-M89)/S89*T89*R89,IF(H89="Short",(M89-Q89)/S89*T89*R89,"")))</f>
        <v/>
      </c>
      <c r="X89" s="51" t="str">
        <f aca="false">IF(W89="","",W89-U89-V89)</f>
        <v/>
      </c>
      <c r="Y89" s="51" t="str">
        <f aca="false">IF(OR(M89="",N89="",R89="",S89="",T89=""),"",ABS(M89-N89)/S89*T89*R89+U89+V89)</f>
        <v/>
      </c>
      <c r="Z89" s="52" t="str">
        <f aca="false">IF(OR(X89="",Y89="",Y89=0),"",X89/Y89)</f>
        <v/>
      </c>
      <c r="AA89" s="50"/>
      <c r="AB89" s="50"/>
      <c r="AC89" s="44"/>
      <c r="AD89" s="44"/>
      <c r="AE89" s="44"/>
      <c r="AF89" s="44"/>
      <c r="AG89" s="44"/>
      <c r="AH89" s="44"/>
      <c r="AI89" s="44"/>
      <c r="AJ89" s="52" t="str">
        <f aca="false">IF(B89="","",SUM($Z$6:Z89))</f>
        <v/>
      </c>
      <c r="AK89" s="52" t="str">
        <f aca="false">IF(AJ89="","",MAX($AJ$6:AJ89))</f>
        <v/>
      </c>
      <c r="AL89" s="52" t="str">
        <f aca="false">IF(AJ89="","",AJ89-AK89)</f>
        <v/>
      </c>
    </row>
    <row r="90" customFormat="false" ht="15" hidden="false" customHeight="false" outlineLevel="0" collapsed="false">
      <c r="A90" s="44"/>
      <c r="B90" s="45"/>
      <c r="C90" s="44"/>
      <c r="D90" s="44"/>
      <c r="E90" s="44"/>
      <c r="F90" s="44"/>
      <c r="G90" s="44"/>
      <c r="H90" s="44"/>
      <c r="I90" s="44"/>
      <c r="J90" s="44"/>
      <c r="K90" s="44"/>
      <c r="L90" s="46"/>
      <c r="M90" s="47"/>
      <c r="N90" s="47"/>
      <c r="O90" s="47"/>
      <c r="P90" s="47"/>
      <c r="Q90" s="47"/>
      <c r="R90" s="48"/>
      <c r="S90" s="49" t="str">
        <f aca="false">IF(E90="","",IFERROR(VLOOKUP(E90,Lists!$A$5:$C$8,2,FALSE()),""))</f>
        <v/>
      </c>
      <c r="T90" s="49" t="str">
        <f aca="false">IF(E90="","",IFERROR(VLOOKUP(E90,Lists!$A$5:$C$8,3,FALSE()),""))</f>
        <v/>
      </c>
      <c r="U90" s="50"/>
      <c r="V90" s="50"/>
      <c r="W90" s="51" t="str">
        <f aca="false">IF(OR(M90="",Q90="",R90="",S90="",T90=""),"",IF(H90="Long",(Q90-M90)/S90*T90*R90,IF(H90="Short",(M90-Q90)/S90*T90*R90,"")))</f>
        <v/>
      </c>
      <c r="X90" s="51" t="str">
        <f aca="false">IF(W90="","",W90-U90-V90)</f>
        <v/>
      </c>
      <c r="Y90" s="51" t="str">
        <f aca="false">IF(OR(M90="",N90="",R90="",S90="",T90=""),"",ABS(M90-N90)/S90*T90*R90+U90+V90)</f>
        <v/>
      </c>
      <c r="Z90" s="52" t="str">
        <f aca="false">IF(OR(X90="",Y90="",Y90=0),"",X90/Y90)</f>
        <v/>
      </c>
      <c r="AA90" s="50"/>
      <c r="AB90" s="50"/>
      <c r="AC90" s="44"/>
      <c r="AD90" s="44"/>
      <c r="AE90" s="44"/>
      <c r="AF90" s="44"/>
      <c r="AG90" s="44"/>
      <c r="AH90" s="44"/>
      <c r="AI90" s="44"/>
      <c r="AJ90" s="52" t="str">
        <f aca="false">IF(B90="","",SUM($Z$6:Z90))</f>
        <v/>
      </c>
      <c r="AK90" s="52" t="str">
        <f aca="false">IF(AJ90="","",MAX($AJ$6:AJ90))</f>
        <v/>
      </c>
      <c r="AL90" s="52" t="str">
        <f aca="false">IF(AJ90="","",AJ90-AK90)</f>
        <v/>
      </c>
    </row>
    <row r="91" customFormat="false" ht="15" hidden="false" customHeight="false" outlineLevel="0" collapsed="false">
      <c r="A91" s="44"/>
      <c r="B91" s="45"/>
      <c r="C91" s="44"/>
      <c r="D91" s="44"/>
      <c r="E91" s="44"/>
      <c r="F91" s="44"/>
      <c r="G91" s="44"/>
      <c r="H91" s="44"/>
      <c r="I91" s="44"/>
      <c r="J91" s="44"/>
      <c r="K91" s="44"/>
      <c r="L91" s="46"/>
      <c r="M91" s="47"/>
      <c r="N91" s="47"/>
      <c r="O91" s="47"/>
      <c r="P91" s="47"/>
      <c r="Q91" s="47"/>
      <c r="R91" s="48"/>
      <c r="S91" s="49" t="str">
        <f aca="false">IF(E91="","",IFERROR(VLOOKUP(E91,Lists!$A$5:$C$8,2,FALSE()),""))</f>
        <v/>
      </c>
      <c r="T91" s="49" t="str">
        <f aca="false">IF(E91="","",IFERROR(VLOOKUP(E91,Lists!$A$5:$C$8,3,FALSE()),""))</f>
        <v/>
      </c>
      <c r="U91" s="50"/>
      <c r="V91" s="50"/>
      <c r="W91" s="51" t="str">
        <f aca="false">IF(OR(M91="",Q91="",R91="",S91="",T91=""),"",IF(H91="Long",(Q91-M91)/S91*T91*R91,IF(H91="Short",(M91-Q91)/S91*T91*R91,"")))</f>
        <v/>
      </c>
      <c r="X91" s="51" t="str">
        <f aca="false">IF(W91="","",W91-U91-V91)</f>
        <v/>
      </c>
      <c r="Y91" s="51" t="str">
        <f aca="false">IF(OR(M91="",N91="",R91="",S91="",T91=""),"",ABS(M91-N91)/S91*T91*R91+U91+V91)</f>
        <v/>
      </c>
      <c r="Z91" s="52" t="str">
        <f aca="false">IF(OR(X91="",Y91="",Y91=0),"",X91/Y91)</f>
        <v/>
      </c>
      <c r="AA91" s="50"/>
      <c r="AB91" s="50"/>
      <c r="AC91" s="44"/>
      <c r="AD91" s="44"/>
      <c r="AE91" s="44"/>
      <c r="AF91" s="44"/>
      <c r="AG91" s="44"/>
      <c r="AH91" s="44"/>
      <c r="AI91" s="44"/>
      <c r="AJ91" s="52" t="str">
        <f aca="false">IF(B91="","",SUM($Z$6:Z91))</f>
        <v/>
      </c>
      <c r="AK91" s="52" t="str">
        <f aca="false">IF(AJ91="","",MAX($AJ$6:AJ91))</f>
        <v/>
      </c>
      <c r="AL91" s="52" t="str">
        <f aca="false">IF(AJ91="","",AJ91-AK91)</f>
        <v/>
      </c>
    </row>
    <row r="92" customFormat="false" ht="15" hidden="false" customHeight="false" outlineLevel="0" collapsed="false">
      <c r="A92" s="44"/>
      <c r="B92" s="45"/>
      <c r="C92" s="44"/>
      <c r="D92" s="44"/>
      <c r="E92" s="44"/>
      <c r="F92" s="44"/>
      <c r="G92" s="44"/>
      <c r="H92" s="44"/>
      <c r="I92" s="44"/>
      <c r="J92" s="44"/>
      <c r="K92" s="44"/>
      <c r="L92" s="46"/>
      <c r="M92" s="47"/>
      <c r="N92" s="47"/>
      <c r="O92" s="47"/>
      <c r="P92" s="47"/>
      <c r="Q92" s="47"/>
      <c r="R92" s="48"/>
      <c r="S92" s="49" t="str">
        <f aca="false">IF(E92="","",IFERROR(VLOOKUP(E92,Lists!$A$5:$C$8,2,FALSE()),""))</f>
        <v/>
      </c>
      <c r="T92" s="49" t="str">
        <f aca="false">IF(E92="","",IFERROR(VLOOKUP(E92,Lists!$A$5:$C$8,3,FALSE()),""))</f>
        <v/>
      </c>
      <c r="U92" s="50"/>
      <c r="V92" s="50"/>
      <c r="W92" s="51" t="str">
        <f aca="false">IF(OR(M92="",Q92="",R92="",S92="",T92=""),"",IF(H92="Long",(Q92-M92)/S92*T92*R92,IF(H92="Short",(M92-Q92)/S92*T92*R92,"")))</f>
        <v/>
      </c>
      <c r="X92" s="51" t="str">
        <f aca="false">IF(W92="","",W92-U92-V92)</f>
        <v/>
      </c>
      <c r="Y92" s="51" t="str">
        <f aca="false">IF(OR(M92="",N92="",R92="",S92="",T92=""),"",ABS(M92-N92)/S92*T92*R92+U92+V92)</f>
        <v/>
      </c>
      <c r="Z92" s="52" t="str">
        <f aca="false">IF(OR(X92="",Y92="",Y92=0),"",X92/Y92)</f>
        <v/>
      </c>
      <c r="AA92" s="50"/>
      <c r="AB92" s="50"/>
      <c r="AC92" s="44"/>
      <c r="AD92" s="44"/>
      <c r="AE92" s="44"/>
      <c r="AF92" s="44"/>
      <c r="AG92" s="44"/>
      <c r="AH92" s="44"/>
      <c r="AI92" s="44"/>
      <c r="AJ92" s="52" t="str">
        <f aca="false">IF(B92="","",SUM($Z$6:Z92))</f>
        <v/>
      </c>
      <c r="AK92" s="52" t="str">
        <f aca="false">IF(AJ92="","",MAX($AJ$6:AJ92))</f>
        <v/>
      </c>
      <c r="AL92" s="52" t="str">
        <f aca="false">IF(AJ92="","",AJ92-AK92)</f>
        <v/>
      </c>
    </row>
    <row r="93" customFormat="false" ht="15" hidden="false" customHeight="false" outlineLevel="0" collapsed="false">
      <c r="A93" s="44"/>
      <c r="B93" s="45"/>
      <c r="C93" s="44"/>
      <c r="D93" s="44"/>
      <c r="E93" s="44"/>
      <c r="F93" s="44"/>
      <c r="G93" s="44"/>
      <c r="H93" s="44"/>
      <c r="I93" s="44"/>
      <c r="J93" s="44"/>
      <c r="K93" s="44"/>
      <c r="L93" s="46"/>
      <c r="M93" s="47"/>
      <c r="N93" s="47"/>
      <c r="O93" s="47"/>
      <c r="P93" s="47"/>
      <c r="Q93" s="47"/>
      <c r="R93" s="48"/>
      <c r="S93" s="49" t="str">
        <f aca="false">IF(E93="","",IFERROR(VLOOKUP(E93,Lists!$A$5:$C$8,2,FALSE()),""))</f>
        <v/>
      </c>
      <c r="T93" s="49" t="str">
        <f aca="false">IF(E93="","",IFERROR(VLOOKUP(E93,Lists!$A$5:$C$8,3,FALSE()),""))</f>
        <v/>
      </c>
      <c r="U93" s="50"/>
      <c r="V93" s="50"/>
      <c r="W93" s="51" t="str">
        <f aca="false">IF(OR(M93="",Q93="",R93="",S93="",T93=""),"",IF(H93="Long",(Q93-M93)/S93*T93*R93,IF(H93="Short",(M93-Q93)/S93*T93*R93,"")))</f>
        <v/>
      </c>
      <c r="X93" s="51" t="str">
        <f aca="false">IF(W93="","",W93-U93-V93)</f>
        <v/>
      </c>
      <c r="Y93" s="51" t="str">
        <f aca="false">IF(OR(M93="",N93="",R93="",S93="",T93=""),"",ABS(M93-N93)/S93*T93*R93+U93+V93)</f>
        <v/>
      </c>
      <c r="Z93" s="52" t="str">
        <f aca="false">IF(OR(X93="",Y93="",Y93=0),"",X93/Y93)</f>
        <v/>
      </c>
      <c r="AA93" s="50"/>
      <c r="AB93" s="50"/>
      <c r="AC93" s="44"/>
      <c r="AD93" s="44"/>
      <c r="AE93" s="44"/>
      <c r="AF93" s="44"/>
      <c r="AG93" s="44"/>
      <c r="AH93" s="44"/>
      <c r="AI93" s="44"/>
      <c r="AJ93" s="52" t="str">
        <f aca="false">IF(B93="","",SUM($Z$6:Z93))</f>
        <v/>
      </c>
      <c r="AK93" s="52" t="str">
        <f aca="false">IF(AJ93="","",MAX($AJ$6:AJ93))</f>
        <v/>
      </c>
      <c r="AL93" s="52" t="str">
        <f aca="false">IF(AJ93="","",AJ93-AK93)</f>
        <v/>
      </c>
    </row>
    <row r="94" customFormat="false" ht="15" hidden="false" customHeight="false" outlineLevel="0" collapsed="false">
      <c r="A94" s="44"/>
      <c r="B94" s="45"/>
      <c r="C94" s="44"/>
      <c r="D94" s="44"/>
      <c r="E94" s="44"/>
      <c r="F94" s="44"/>
      <c r="G94" s="44"/>
      <c r="H94" s="44"/>
      <c r="I94" s="44"/>
      <c r="J94" s="44"/>
      <c r="K94" s="44"/>
      <c r="L94" s="46"/>
      <c r="M94" s="47"/>
      <c r="N94" s="47"/>
      <c r="O94" s="47"/>
      <c r="P94" s="47"/>
      <c r="Q94" s="47"/>
      <c r="R94" s="48"/>
      <c r="S94" s="49" t="str">
        <f aca="false">IF(E94="","",IFERROR(VLOOKUP(E94,Lists!$A$5:$C$8,2,FALSE()),""))</f>
        <v/>
      </c>
      <c r="T94" s="49" t="str">
        <f aca="false">IF(E94="","",IFERROR(VLOOKUP(E94,Lists!$A$5:$C$8,3,FALSE()),""))</f>
        <v/>
      </c>
      <c r="U94" s="50"/>
      <c r="V94" s="50"/>
      <c r="W94" s="51" t="str">
        <f aca="false">IF(OR(M94="",Q94="",R94="",S94="",T94=""),"",IF(H94="Long",(Q94-M94)/S94*T94*R94,IF(H94="Short",(M94-Q94)/S94*T94*R94,"")))</f>
        <v/>
      </c>
      <c r="X94" s="51" t="str">
        <f aca="false">IF(W94="","",W94-U94-V94)</f>
        <v/>
      </c>
      <c r="Y94" s="51" t="str">
        <f aca="false">IF(OR(M94="",N94="",R94="",S94="",T94=""),"",ABS(M94-N94)/S94*T94*R94+U94+V94)</f>
        <v/>
      </c>
      <c r="Z94" s="52" t="str">
        <f aca="false">IF(OR(X94="",Y94="",Y94=0),"",X94/Y94)</f>
        <v/>
      </c>
      <c r="AA94" s="50"/>
      <c r="AB94" s="50"/>
      <c r="AC94" s="44"/>
      <c r="AD94" s="44"/>
      <c r="AE94" s="44"/>
      <c r="AF94" s="44"/>
      <c r="AG94" s="44"/>
      <c r="AH94" s="44"/>
      <c r="AI94" s="44"/>
      <c r="AJ94" s="52" t="str">
        <f aca="false">IF(B94="","",SUM($Z$6:Z94))</f>
        <v/>
      </c>
      <c r="AK94" s="52" t="str">
        <f aca="false">IF(AJ94="","",MAX($AJ$6:AJ94))</f>
        <v/>
      </c>
      <c r="AL94" s="52" t="str">
        <f aca="false">IF(AJ94="","",AJ94-AK94)</f>
        <v/>
      </c>
    </row>
    <row r="95" customFormat="false" ht="15" hidden="false" customHeight="false" outlineLevel="0" collapsed="false">
      <c r="A95" s="44"/>
      <c r="B95" s="45"/>
      <c r="C95" s="44"/>
      <c r="D95" s="44"/>
      <c r="E95" s="44"/>
      <c r="F95" s="44"/>
      <c r="G95" s="44"/>
      <c r="H95" s="44"/>
      <c r="I95" s="44"/>
      <c r="J95" s="44"/>
      <c r="K95" s="44"/>
      <c r="L95" s="46"/>
      <c r="M95" s="47"/>
      <c r="N95" s="47"/>
      <c r="O95" s="47"/>
      <c r="P95" s="47"/>
      <c r="Q95" s="47"/>
      <c r="R95" s="48"/>
      <c r="S95" s="49" t="str">
        <f aca="false">IF(E95="","",IFERROR(VLOOKUP(E95,Lists!$A$5:$C$8,2,FALSE()),""))</f>
        <v/>
      </c>
      <c r="T95" s="49" t="str">
        <f aca="false">IF(E95="","",IFERROR(VLOOKUP(E95,Lists!$A$5:$C$8,3,FALSE()),""))</f>
        <v/>
      </c>
      <c r="U95" s="50"/>
      <c r="V95" s="50"/>
      <c r="W95" s="51" t="str">
        <f aca="false">IF(OR(M95="",Q95="",R95="",S95="",T95=""),"",IF(H95="Long",(Q95-M95)/S95*T95*R95,IF(H95="Short",(M95-Q95)/S95*T95*R95,"")))</f>
        <v/>
      </c>
      <c r="X95" s="51" t="str">
        <f aca="false">IF(W95="","",W95-U95-V95)</f>
        <v/>
      </c>
      <c r="Y95" s="51" t="str">
        <f aca="false">IF(OR(M95="",N95="",R95="",S95="",T95=""),"",ABS(M95-N95)/S95*T95*R95+U95+V95)</f>
        <v/>
      </c>
      <c r="Z95" s="52" t="str">
        <f aca="false">IF(OR(X95="",Y95="",Y95=0),"",X95/Y95)</f>
        <v/>
      </c>
      <c r="AA95" s="50"/>
      <c r="AB95" s="50"/>
      <c r="AC95" s="44"/>
      <c r="AD95" s="44"/>
      <c r="AE95" s="44"/>
      <c r="AF95" s="44"/>
      <c r="AG95" s="44"/>
      <c r="AH95" s="44"/>
      <c r="AI95" s="44"/>
      <c r="AJ95" s="52" t="str">
        <f aca="false">IF(B95="","",SUM($Z$6:Z95))</f>
        <v/>
      </c>
      <c r="AK95" s="52" t="str">
        <f aca="false">IF(AJ95="","",MAX($AJ$6:AJ95))</f>
        <v/>
      </c>
      <c r="AL95" s="52" t="str">
        <f aca="false">IF(AJ95="","",AJ95-AK95)</f>
        <v/>
      </c>
    </row>
    <row r="96" customFormat="false" ht="15" hidden="false" customHeight="false" outlineLevel="0" collapsed="false">
      <c r="A96" s="44"/>
      <c r="B96" s="45"/>
      <c r="C96" s="44"/>
      <c r="D96" s="44"/>
      <c r="E96" s="44"/>
      <c r="F96" s="44"/>
      <c r="G96" s="44"/>
      <c r="H96" s="44"/>
      <c r="I96" s="44"/>
      <c r="J96" s="44"/>
      <c r="K96" s="44"/>
      <c r="L96" s="46"/>
      <c r="M96" s="47"/>
      <c r="N96" s="47"/>
      <c r="O96" s="47"/>
      <c r="P96" s="47"/>
      <c r="Q96" s="47"/>
      <c r="R96" s="48"/>
      <c r="S96" s="49" t="str">
        <f aca="false">IF(E96="","",IFERROR(VLOOKUP(E96,Lists!$A$5:$C$8,2,FALSE()),""))</f>
        <v/>
      </c>
      <c r="T96" s="49" t="str">
        <f aca="false">IF(E96="","",IFERROR(VLOOKUP(E96,Lists!$A$5:$C$8,3,FALSE()),""))</f>
        <v/>
      </c>
      <c r="U96" s="50"/>
      <c r="V96" s="50"/>
      <c r="W96" s="51" t="str">
        <f aca="false">IF(OR(M96="",Q96="",R96="",S96="",T96=""),"",IF(H96="Long",(Q96-M96)/S96*T96*R96,IF(H96="Short",(M96-Q96)/S96*T96*R96,"")))</f>
        <v/>
      </c>
      <c r="X96" s="51" t="str">
        <f aca="false">IF(W96="","",W96-U96-V96)</f>
        <v/>
      </c>
      <c r="Y96" s="51" t="str">
        <f aca="false">IF(OR(M96="",N96="",R96="",S96="",T96=""),"",ABS(M96-N96)/S96*T96*R96+U96+V96)</f>
        <v/>
      </c>
      <c r="Z96" s="52" t="str">
        <f aca="false">IF(OR(X96="",Y96="",Y96=0),"",X96/Y96)</f>
        <v/>
      </c>
      <c r="AA96" s="50"/>
      <c r="AB96" s="50"/>
      <c r="AC96" s="44"/>
      <c r="AD96" s="44"/>
      <c r="AE96" s="44"/>
      <c r="AF96" s="44"/>
      <c r="AG96" s="44"/>
      <c r="AH96" s="44"/>
      <c r="AI96" s="44"/>
      <c r="AJ96" s="52" t="str">
        <f aca="false">IF(B96="","",SUM($Z$6:Z96))</f>
        <v/>
      </c>
      <c r="AK96" s="52" t="str">
        <f aca="false">IF(AJ96="","",MAX($AJ$6:AJ96))</f>
        <v/>
      </c>
      <c r="AL96" s="52" t="str">
        <f aca="false">IF(AJ96="","",AJ96-AK96)</f>
        <v/>
      </c>
    </row>
    <row r="97" customFormat="false" ht="15" hidden="false" customHeight="false" outlineLevel="0" collapsed="false">
      <c r="A97" s="44"/>
      <c r="B97" s="45"/>
      <c r="C97" s="44"/>
      <c r="D97" s="44"/>
      <c r="E97" s="44"/>
      <c r="F97" s="44"/>
      <c r="G97" s="44"/>
      <c r="H97" s="44"/>
      <c r="I97" s="44"/>
      <c r="J97" s="44"/>
      <c r="K97" s="44"/>
      <c r="L97" s="46"/>
      <c r="M97" s="47"/>
      <c r="N97" s="47"/>
      <c r="O97" s="47"/>
      <c r="P97" s="47"/>
      <c r="Q97" s="47"/>
      <c r="R97" s="48"/>
      <c r="S97" s="49" t="str">
        <f aca="false">IF(E97="","",IFERROR(VLOOKUP(E97,Lists!$A$5:$C$8,2,FALSE()),""))</f>
        <v/>
      </c>
      <c r="T97" s="49" t="str">
        <f aca="false">IF(E97="","",IFERROR(VLOOKUP(E97,Lists!$A$5:$C$8,3,FALSE()),""))</f>
        <v/>
      </c>
      <c r="U97" s="50"/>
      <c r="V97" s="50"/>
      <c r="W97" s="51" t="str">
        <f aca="false">IF(OR(M97="",Q97="",R97="",S97="",T97=""),"",IF(H97="Long",(Q97-M97)/S97*T97*R97,IF(H97="Short",(M97-Q97)/S97*T97*R97,"")))</f>
        <v/>
      </c>
      <c r="X97" s="51" t="str">
        <f aca="false">IF(W97="","",W97-U97-V97)</f>
        <v/>
      </c>
      <c r="Y97" s="51" t="str">
        <f aca="false">IF(OR(M97="",N97="",R97="",S97="",T97=""),"",ABS(M97-N97)/S97*T97*R97+U97+V97)</f>
        <v/>
      </c>
      <c r="Z97" s="52" t="str">
        <f aca="false">IF(OR(X97="",Y97="",Y97=0),"",X97/Y97)</f>
        <v/>
      </c>
      <c r="AA97" s="50"/>
      <c r="AB97" s="50"/>
      <c r="AC97" s="44"/>
      <c r="AD97" s="44"/>
      <c r="AE97" s="44"/>
      <c r="AF97" s="44"/>
      <c r="AG97" s="44"/>
      <c r="AH97" s="44"/>
      <c r="AI97" s="44"/>
      <c r="AJ97" s="52" t="str">
        <f aca="false">IF(B97="","",SUM($Z$6:Z97))</f>
        <v/>
      </c>
      <c r="AK97" s="52" t="str">
        <f aca="false">IF(AJ97="","",MAX($AJ$6:AJ97))</f>
        <v/>
      </c>
      <c r="AL97" s="52" t="str">
        <f aca="false">IF(AJ97="","",AJ97-AK97)</f>
        <v/>
      </c>
    </row>
    <row r="98" customFormat="false" ht="15" hidden="false" customHeight="false" outlineLevel="0" collapsed="false">
      <c r="A98" s="44"/>
      <c r="B98" s="45"/>
      <c r="C98" s="44"/>
      <c r="D98" s="44"/>
      <c r="E98" s="44"/>
      <c r="F98" s="44"/>
      <c r="G98" s="44"/>
      <c r="H98" s="44"/>
      <c r="I98" s="44"/>
      <c r="J98" s="44"/>
      <c r="K98" s="44"/>
      <c r="L98" s="46"/>
      <c r="M98" s="47"/>
      <c r="N98" s="47"/>
      <c r="O98" s="47"/>
      <c r="P98" s="47"/>
      <c r="Q98" s="47"/>
      <c r="R98" s="48"/>
      <c r="S98" s="49" t="str">
        <f aca="false">IF(E98="","",IFERROR(VLOOKUP(E98,Lists!$A$5:$C$8,2,FALSE()),""))</f>
        <v/>
      </c>
      <c r="T98" s="49" t="str">
        <f aca="false">IF(E98="","",IFERROR(VLOOKUP(E98,Lists!$A$5:$C$8,3,FALSE()),""))</f>
        <v/>
      </c>
      <c r="U98" s="50"/>
      <c r="V98" s="50"/>
      <c r="W98" s="51" t="str">
        <f aca="false">IF(OR(M98="",Q98="",R98="",S98="",T98=""),"",IF(H98="Long",(Q98-M98)/S98*T98*R98,IF(H98="Short",(M98-Q98)/S98*T98*R98,"")))</f>
        <v/>
      </c>
      <c r="X98" s="51" t="str">
        <f aca="false">IF(W98="","",W98-U98-V98)</f>
        <v/>
      </c>
      <c r="Y98" s="51" t="str">
        <f aca="false">IF(OR(M98="",N98="",R98="",S98="",T98=""),"",ABS(M98-N98)/S98*T98*R98+U98+V98)</f>
        <v/>
      </c>
      <c r="Z98" s="52" t="str">
        <f aca="false">IF(OR(X98="",Y98="",Y98=0),"",X98/Y98)</f>
        <v/>
      </c>
      <c r="AA98" s="50"/>
      <c r="AB98" s="50"/>
      <c r="AC98" s="44"/>
      <c r="AD98" s="44"/>
      <c r="AE98" s="44"/>
      <c r="AF98" s="44"/>
      <c r="AG98" s="44"/>
      <c r="AH98" s="44"/>
      <c r="AI98" s="44"/>
      <c r="AJ98" s="52" t="str">
        <f aca="false">IF(B98="","",SUM($Z$6:Z98))</f>
        <v/>
      </c>
      <c r="AK98" s="52" t="str">
        <f aca="false">IF(AJ98="","",MAX($AJ$6:AJ98))</f>
        <v/>
      </c>
      <c r="AL98" s="52" t="str">
        <f aca="false">IF(AJ98="","",AJ98-AK98)</f>
        <v/>
      </c>
    </row>
    <row r="99" customFormat="false" ht="15" hidden="false" customHeight="false" outlineLevel="0" collapsed="false">
      <c r="A99" s="44"/>
      <c r="B99" s="45"/>
      <c r="C99" s="44"/>
      <c r="D99" s="44"/>
      <c r="E99" s="44"/>
      <c r="F99" s="44"/>
      <c r="G99" s="44"/>
      <c r="H99" s="44"/>
      <c r="I99" s="44"/>
      <c r="J99" s="44"/>
      <c r="K99" s="44"/>
      <c r="L99" s="46"/>
      <c r="M99" s="47"/>
      <c r="N99" s="47"/>
      <c r="O99" s="47"/>
      <c r="P99" s="47"/>
      <c r="Q99" s="47"/>
      <c r="R99" s="48"/>
      <c r="S99" s="49" t="str">
        <f aca="false">IF(E99="","",IFERROR(VLOOKUP(E99,Lists!$A$5:$C$8,2,FALSE()),""))</f>
        <v/>
      </c>
      <c r="T99" s="49" t="str">
        <f aca="false">IF(E99="","",IFERROR(VLOOKUP(E99,Lists!$A$5:$C$8,3,FALSE()),""))</f>
        <v/>
      </c>
      <c r="U99" s="50"/>
      <c r="V99" s="50"/>
      <c r="W99" s="51" t="str">
        <f aca="false">IF(OR(M99="",Q99="",R99="",S99="",T99=""),"",IF(H99="Long",(Q99-M99)/S99*T99*R99,IF(H99="Short",(M99-Q99)/S99*T99*R99,"")))</f>
        <v/>
      </c>
      <c r="X99" s="51" t="str">
        <f aca="false">IF(W99="","",W99-U99-V99)</f>
        <v/>
      </c>
      <c r="Y99" s="51" t="str">
        <f aca="false">IF(OR(M99="",N99="",R99="",S99="",T99=""),"",ABS(M99-N99)/S99*T99*R99+U99+V99)</f>
        <v/>
      </c>
      <c r="Z99" s="52" t="str">
        <f aca="false">IF(OR(X99="",Y99="",Y99=0),"",X99/Y99)</f>
        <v/>
      </c>
      <c r="AA99" s="50"/>
      <c r="AB99" s="50"/>
      <c r="AC99" s="44"/>
      <c r="AD99" s="44"/>
      <c r="AE99" s="44"/>
      <c r="AF99" s="44"/>
      <c r="AG99" s="44"/>
      <c r="AH99" s="44"/>
      <c r="AI99" s="44"/>
      <c r="AJ99" s="52" t="str">
        <f aca="false">IF(B99="","",SUM($Z$6:Z99))</f>
        <v/>
      </c>
      <c r="AK99" s="52" t="str">
        <f aca="false">IF(AJ99="","",MAX($AJ$6:AJ99))</f>
        <v/>
      </c>
      <c r="AL99" s="52" t="str">
        <f aca="false">IF(AJ99="","",AJ99-AK99)</f>
        <v/>
      </c>
    </row>
    <row r="100" customFormat="false" ht="15" hidden="false" customHeight="false" outlineLevel="0" collapsed="false">
      <c r="A100" s="44"/>
      <c r="B100" s="45"/>
      <c r="C100" s="44"/>
      <c r="D100" s="44"/>
      <c r="E100" s="44"/>
      <c r="F100" s="44"/>
      <c r="G100" s="44"/>
      <c r="H100" s="44"/>
      <c r="I100" s="44"/>
      <c r="J100" s="44"/>
      <c r="K100" s="44"/>
      <c r="L100" s="46"/>
      <c r="M100" s="47"/>
      <c r="N100" s="47"/>
      <c r="O100" s="47"/>
      <c r="P100" s="47"/>
      <c r="Q100" s="47"/>
      <c r="R100" s="48"/>
      <c r="S100" s="49" t="str">
        <f aca="false">IF(E100="","",IFERROR(VLOOKUP(E100,Lists!$A$5:$C$8,2,FALSE()),""))</f>
        <v/>
      </c>
      <c r="T100" s="49" t="str">
        <f aca="false">IF(E100="","",IFERROR(VLOOKUP(E100,Lists!$A$5:$C$8,3,FALSE()),""))</f>
        <v/>
      </c>
      <c r="U100" s="50"/>
      <c r="V100" s="50"/>
      <c r="W100" s="51" t="str">
        <f aca="false">IF(OR(M100="",Q100="",R100="",S100="",T100=""),"",IF(H100="Long",(Q100-M100)/S100*T100*R100,IF(H100="Short",(M100-Q100)/S100*T100*R100,"")))</f>
        <v/>
      </c>
      <c r="X100" s="51" t="str">
        <f aca="false">IF(W100="","",W100-U100-V100)</f>
        <v/>
      </c>
      <c r="Y100" s="51" t="str">
        <f aca="false">IF(OR(M100="",N100="",R100="",S100="",T100=""),"",ABS(M100-N100)/S100*T100*R100+U100+V100)</f>
        <v/>
      </c>
      <c r="Z100" s="52" t="str">
        <f aca="false">IF(OR(X100="",Y100="",Y100=0),"",X100/Y100)</f>
        <v/>
      </c>
      <c r="AA100" s="50"/>
      <c r="AB100" s="50"/>
      <c r="AC100" s="44"/>
      <c r="AD100" s="44"/>
      <c r="AE100" s="44"/>
      <c r="AF100" s="44"/>
      <c r="AG100" s="44"/>
      <c r="AH100" s="44"/>
      <c r="AI100" s="44"/>
      <c r="AJ100" s="52" t="str">
        <f aca="false">IF(B100="","",SUM($Z$6:Z100))</f>
        <v/>
      </c>
      <c r="AK100" s="52" t="str">
        <f aca="false">IF(AJ100="","",MAX($AJ$6:AJ100))</f>
        <v/>
      </c>
      <c r="AL100" s="52" t="str">
        <f aca="false">IF(AJ100="","",AJ100-AK100)</f>
        <v/>
      </c>
    </row>
    <row r="101" customFormat="false" ht="15" hidden="false" customHeight="false" outlineLevel="0" collapsed="false">
      <c r="A101" s="44"/>
      <c r="B101" s="45"/>
      <c r="C101" s="44"/>
      <c r="D101" s="44"/>
      <c r="E101" s="44"/>
      <c r="F101" s="44"/>
      <c r="G101" s="44"/>
      <c r="H101" s="44"/>
      <c r="I101" s="44"/>
      <c r="J101" s="44"/>
      <c r="K101" s="44"/>
      <c r="L101" s="46"/>
      <c r="M101" s="47"/>
      <c r="N101" s="47"/>
      <c r="O101" s="47"/>
      <c r="P101" s="47"/>
      <c r="Q101" s="47"/>
      <c r="R101" s="48"/>
      <c r="S101" s="49" t="str">
        <f aca="false">IF(E101="","",IFERROR(VLOOKUP(E101,Lists!$A$5:$C$8,2,FALSE()),""))</f>
        <v/>
      </c>
      <c r="T101" s="49" t="str">
        <f aca="false">IF(E101="","",IFERROR(VLOOKUP(E101,Lists!$A$5:$C$8,3,FALSE()),""))</f>
        <v/>
      </c>
      <c r="U101" s="50"/>
      <c r="V101" s="50"/>
      <c r="W101" s="51" t="str">
        <f aca="false">IF(OR(M101="",Q101="",R101="",S101="",T101=""),"",IF(H101="Long",(Q101-M101)/S101*T101*R101,IF(H101="Short",(M101-Q101)/S101*T101*R101,"")))</f>
        <v/>
      </c>
      <c r="X101" s="51" t="str">
        <f aca="false">IF(W101="","",W101-U101-V101)</f>
        <v/>
      </c>
      <c r="Y101" s="51" t="str">
        <f aca="false">IF(OR(M101="",N101="",R101="",S101="",T101=""),"",ABS(M101-N101)/S101*T101*R101+U101+V101)</f>
        <v/>
      </c>
      <c r="Z101" s="52" t="str">
        <f aca="false">IF(OR(X101="",Y101="",Y101=0),"",X101/Y101)</f>
        <v/>
      </c>
      <c r="AA101" s="50"/>
      <c r="AB101" s="50"/>
      <c r="AC101" s="44"/>
      <c r="AD101" s="44"/>
      <c r="AE101" s="44"/>
      <c r="AF101" s="44"/>
      <c r="AG101" s="44"/>
      <c r="AH101" s="44"/>
      <c r="AI101" s="44"/>
      <c r="AJ101" s="52" t="str">
        <f aca="false">IF(B101="","",SUM($Z$6:Z101))</f>
        <v/>
      </c>
      <c r="AK101" s="52" t="str">
        <f aca="false">IF(AJ101="","",MAX($AJ$6:AJ101))</f>
        <v/>
      </c>
      <c r="AL101" s="52" t="str">
        <f aca="false">IF(AJ101="","",AJ101-AK101)</f>
        <v/>
      </c>
    </row>
    <row r="102" customFormat="false" ht="15" hidden="false" customHeight="false" outlineLevel="0" collapsed="false">
      <c r="A102" s="44"/>
      <c r="B102" s="45"/>
      <c r="C102" s="44"/>
      <c r="D102" s="44"/>
      <c r="E102" s="44"/>
      <c r="F102" s="44"/>
      <c r="G102" s="44"/>
      <c r="H102" s="44"/>
      <c r="I102" s="44"/>
      <c r="J102" s="44"/>
      <c r="K102" s="44"/>
      <c r="L102" s="46"/>
      <c r="M102" s="47"/>
      <c r="N102" s="47"/>
      <c r="O102" s="47"/>
      <c r="P102" s="47"/>
      <c r="Q102" s="47"/>
      <c r="R102" s="48"/>
      <c r="S102" s="49" t="str">
        <f aca="false">IF(E102="","",IFERROR(VLOOKUP(E102,Lists!$A$5:$C$8,2,FALSE()),""))</f>
        <v/>
      </c>
      <c r="T102" s="49" t="str">
        <f aca="false">IF(E102="","",IFERROR(VLOOKUP(E102,Lists!$A$5:$C$8,3,FALSE()),""))</f>
        <v/>
      </c>
      <c r="U102" s="50"/>
      <c r="V102" s="50"/>
      <c r="W102" s="51" t="str">
        <f aca="false">IF(OR(M102="",Q102="",R102="",S102="",T102=""),"",IF(H102="Long",(Q102-M102)/S102*T102*R102,IF(H102="Short",(M102-Q102)/S102*T102*R102,"")))</f>
        <v/>
      </c>
      <c r="X102" s="51" t="str">
        <f aca="false">IF(W102="","",W102-U102-V102)</f>
        <v/>
      </c>
      <c r="Y102" s="51" t="str">
        <f aca="false">IF(OR(M102="",N102="",R102="",S102="",T102=""),"",ABS(M102-N102)/S102*T102*R102+U102+V102)</f>
        <v/>
      </c>
      <c r="Z102" s="52" t="str">
        <f aca="false">IF(OR(X102="",Y102="",Y102=0),"",X102/Y102)</f>
        <v/>
      </c>
      <c r="AA102" s="50"/>
      <c r="AB102" s="50"/>
      <c r="AC102" s="44"/>
      <c r="AD102" s="44"/>
      <c r="AE102" s="44"/>
      <c r="AF102" s="44"/>
      <c r="AG102" s="44"/>
      <c r="AH102" s="44"/>
      <c r="AI102" s="44"/>
      <c r="AJ102" s="52" t="str">
        <f aca="false">IF(B102="","",SUM($Z$6:Z102))</f>
        <v/>
      </c>
      <c r="AK102" s="52" t="str">
        <f aca="false">IF(AJ102="","",MAX($AJ$6:AJ102))</f>
        <v/>
      </c>
      <c r="AL102" s="52" t="str">
        <f aca="false">IF(AJ102="","",AJ102-AK102)</f>
        <v/>
      </c>
    </row>
    <row r="103" customFormat="false" ht="15" hidden="false" customHeight="false" outlineLevel="0" collapsed="false">
      <c r="A103" s="44"/>
      <c r="B103" s="45"/>
      <c r="C103" s="44"/>
      <c r="D103" s="44"/>
      <c r="E103" s="44"/>
      <c r="F103" s="44"/>
      <c r="G103" s="44"/>
      <c r="H103" s="44"/>
      <c r="I103" s="44"/>
      <c r="J103" s="44"/>
      <c r="K103" s="44"/>
      <c r="L103" s="46"/>
      <c r="M103" s="47"/>
      <c r="N103" s="47"/>
      <c r="O103" s="47"/>
      <c r="P103" s="47"/>
      <c r="Q103" s="47"/>
      <c r="R103" s="48"/>
      <c r="S103" s="49" t="str">
        <f aca="false">IF(E103="","",IFERROR(VLOOKUP(E103,Lists!$A$5:$C$8,2,FALSE()),""))</f>
        <v/>
      </c>
      <c r="T103" s="49" t="str">
        <f aca="false">IF(E103="","",IFERROR(VLOOKUP(E103,Lists!$A$5:$C$8,3,FALSE()),""))</f>
        <v/>
      </c>
      <c r="U103" s="50"/>
      <c r="V103" s="50"/>
      <c r="W103" s="51" t="str">
        <f aca="false">IF(OR(M103="",Q103="",R103="",S103="",T103=""),"",IF(H103="Long",(Q103-M103)/S103*T103*R103,IF(H103="Short",(M103-Q103)/S103*T103*R103,"")))</f>
        <v/>
      </c>
      <c r="X103" s="51" t="str">
        <f aca="false">IF(W103="","",W103-U103-V103)</f>
        <v/>
      </c>
      <c r="Y103" s="51" t="str">
        <f aca="false">IF(OR(M103="",N103="",R103="",S103="",T103=""),"",ABS(M103-N103)/S103*T103*R103+U103+V103)</f>
        <v/>
      </c>
      <c r="Z103" s="52" t="str">
        <f aca="false">IF(OR(X103="",Y103="",Y103=0),"",X103/Y103)</f>
        <v/>
      </c>
      <c r="AA103" s="50"/>
      <c r="AB103" s="50"/>
      <c r="AC103" s="44"/>
      <c r="AD103" s="44"/>
      <c r="AE103" s="44"/>
      <c r="AF103" s="44"/>
      <c r="AG103" s="44"/>
      <c r="AH103" s="44"/>
      <c r="AI103" s="44"/>
      <c r="AJ103" s="52" t="str">
        <f aca="false">IF(B103="","",SUM($Z$6:Z103))</f>
        <v/>
      </c>
      <c r="AK103" s="52" t="str">
        <f aca="false">IF(AJ103="","",MAX($AJ$6:AJ103))</f>
        <v/>
      </c>
      <c r="AL103" s="52" t="str">
        <f aca="false">IF(AJ103="","",AJ103-AK103)</f>
        <v/>
      </c>
    </row>
    <row r="104" customFormat="false" ht="15" hidden="false" customHeight="false" outlineLevel="0" collapsed="false">
      <c r="A104" s="44"/>
      <c r="B104" s="45"/>
      <c r="C104" s="44"/>
      <c r="D104" s="44"/>
      <c r="E104" s="44"/>
      <c r="F104" s="44"/>
      <c r="G104" s="44"/>
      <c r="H104" s="44"/>
      <c r="I104" s="44"/>
      <c r="J104" s="44"/>
      <c r="K104" s="44"/>
      <c r="L104" s="46"/>
      <c r="M104" s="47"/>
      <c r="N104" s="47"/>
      <c r="O104" s="47"/>
      <c r="P104" s="47"/>
      <c r="Q104" s="47"/>
      <c r="R104" s="48"/>
      <c r="S104" s="49" t="str">
        <f aca="false">IF(E104="","",IFERROR(VLOOKUP(E104,Lists!$A$5:$C$8,2,FALSE()),""))</f>
        <v/>
      </c>
      <c r="T104" s="49" t="str">
        <f aca="false">IF(E104="","",IFERROR(VLOOKUP(E104,Lists!$A$5:$C$8,3,FALSE()),""))</f>
        <v/>
      </c>
      <c r="U104" s="50"/>
      <c r="V104" s="50"/>
      <c r="W104" s="51" t="str">
        <f aca="false">IF(OR(M104="",Q104="",R104="",S104="",T104=""),"",IF(H104="Long",(Q104-M104)/S104*T104*R104,IF(H104="Short",(M104-Q104)/S104*T104*R104,"")))</f>
        <v/>
      </c>
      <c r="X104" s="51" t="str">
        <f aca="false">IF(W104="","",W104-U104-V104)</f>
        <v/>
      </c>
      <c r="Y104" s="51" t="str">
        <f aca="false">IF(OR(M104="",N104="",R104="",S104="",T104=""),"",ABS(M104-N104)/S104*T104*R104+U104+V104)</f>
        <v/>
      </c>
      <c r="Z104" s="52" t="str">
        <f aca="false">IF(OR(X104="",Y104="",Y104=0),"",X104/Y104)</f>
        <v/>
      </c>
      <c r="AA104" s="50"/>
      <c r="AB104" s="50"/>
      <c r="AC104" s="44"/>
      <c r="AD104" s="44"/>
      <c r="AE104" s="44"/>
      <c r="AF104" s="44"/>
      <c r="AG104" s="44"/>
      <c r="AH104" s="44"/>
      <c r="AI104" s="44"/>
      <c r="AJ104" s="52" t="str">
        <f aca="false">IF(B104="","",SUM($Z$6:Z104))</f>
        <v/>
      </c>
      <c r="AK104" s="52" t="str">
        <f aca="false">IF(AJ104="","",MAX($AJ$6:AJ104))</f>
        <v/>
      </c>
      <c r="AL104" s="52" t="str">
        <f aca="false">IF(AJ104="","",AJ104-AK104)</f>
        <v/>
      </c>
    </row>
    <row r="105" customFormat="false" ht="15" hidden="false" customHeight="false" outlineLevel="0" collapsed="false">
      <c r="A105" s="44"/>
      <c r="B105" s="45"/>
      <c r="C105" s="44"/>
      <c r="D105" s="44"/>
      <c r="E105" s="44"/>
      <c r="F105" s="44"/>
      <c r="G105" s="44"/>
      <c r="H105" s="44"/>
      <c r="I105" s="44"/>
      <c r="J105" s="44"/>
      <c r="K105" s="44"/>
      <c r="L105" s="46"/>
      <c r="M105" s="47"/>
      <c r="N105" s="47"/>
      <c r="O105" s="47"/>
      <c r="P105" s="47"/>
      <c r="Q105" s="47"/>
      <c r="R105" s="48"/>
      <c r="S105" s="49" t="str">
        <f aca="false">IF(E105="","",IFERROR(VLOOKUP(E105,Lists!$A$5:$C$8,2,FALSE()),""))</f>
        <v/>
      </c>
      <c r="T105" s="49" t="str">
        <f aca="false">IF(E105="","",IFERROR(VLOOKUP(E105,Lists!$A$5:$C$8,3,FALSE()),""))</f>
        <v/>
      </c>
      <c r="U105" s="50"/>
      <c r="V105" s="50"/>
      <c r="W105" s="51" t="str">
        <f aca="false">IF(OR(M105="",Q105="",R105="",S105="",T105=""),"",IF(H105="Long",(Q105-M105)/S105*T105*R105,IF(H105="Short",(M105-Q105)/S105*T105*R105,"")))</f>
        <v/>
      </c>
      <c r="X105" s="51" t="str">
        <f aca="false">IF(W105="","",W105-U105-V105)</f>
        <v/>
      </c>
      <c r="Y105" s="51" t="str">
        <f aca="false">IF(OR(M105="",N105="",R105="",S105="",T105=""),"",ABS(M105-N105)/S105*T105*R105+U105+V105)</f>
        <v/>
      </c>
      <c r="Z105" s="52" t="str">
        <f aca="false">IF(OR(X105="",Y105="",Y105=0),"",X105/Y105)</f>
        <v/>
      </c>
      <c r="AA105" s="50"/>
      <c r="AB105" s="50"/>
      <c r="AC105" s="44"/>
      <c r="AD105" s="44"/>
      <c r="AE105" s="44"/>
      <c r="AF105" s="44"/>
      <c r="AG105" s="44"/>
      <c r="AH105" s="44"/>
      <c r="AI105" s="44"/>
      <c r="AJ105" s="52" t="str">
        <f aca="false">IF(B105="","",SUM($Z$6:Z105))</f>
        <v/>
      </c>
      <c r="AK105" s="52" t="str">
        <f aca="false">IF(AJ105="","",MAX($AJ$6:AJ105))</f>
        <v/>
      </c>
      <c r="AL105" s="52" t="str">
        <f aca="false">IF(AJ105="","",AJ105-AK105)</f>
        <v/>
      </c>
    </row>
    <row r="106" customFormat="false" ht="15" hidden="false" customHeight="false" outlineLevel="0" collapsed="false">
      <c r="A106" s="44"/>
      <c r="B106" s="45"/>
      <c r="C106" s="44"/>
      <c r="D106" s="44"/>
      <c r="E106" s="44"/>
      <c r="F106" s="44"/>
      <c r="G106" s="44"/>
      <c r="H106" s="44"/>
      <c r="I106" s="44"/>
      <c r="J106" s="44"/>
      <c r="K106" s="44"/>
      <c r="L106" s="46"/>
      <c r="M106" s="47"/>
      <c r="N106" s="47"/>
      <c r="O106" s="47"/>
      <c r="P106" s="47"/>
      <c r="Q106" s="47"/>
      <c r="R106" s="48"/>
      <c r="S106" s="49" t="str">
        <f aca="false">IF(E106="","",IFERROR(VLOOKUP(E106,Lists!$A$5:$C$8,2,FALSE()),""))</f>
        <v/>
      </c>
      <c r="T106" s="49" t="str">
        <f aca="false">IF(E106="","",IFERROR(VLOOKUP(E106,Lists!$A$5:$C$8,3,FALSE()),""))</f>
        <v/>
      </c>
      <c r="U106" s="50"/>
      <c r="V106" s="50"/>
      <c r="W106" s="51" t="str">
        <f aca="false">IF(OR(M106="",Q106="",R106="",S106="",T106=""),"",IF(H106="Long",(Q106-M106)/S106*T106*R106,IF(H106="Short",(M106-Q106)/S106*T106*R106,"")))</f>
        <v/>
      </c>
      <c r="X106" s="51" t="str">
        <f aca="false">IF(W106="","",W106-U106-V106)</f>
        <v/>
      </c>
      <c r="Y106" s="51" t="str">
        <f aca="false">IF(OR(M106="",N106="",R106="",S106="",T106=""),"",ABS(M106-N106)/S106*T106*R106+U106+V106)</f>
        <v/>
      </c>
      <c r="Z106" s="52" t="str">
        <f aca="false">IF(OR(X106="",Y106="",Y106=0),"",X106/Y106)</f>
        <v/>
      </c>
      <c r="AA106" s="50"/>
      <c r="AB106" s="50"/>
      <c r="AC106" s="44"/>
      <c r="AD106" s="44"/>
      <c r="AE106" s="44"/>
      <c r="AF106" s="44"/>
      <c r="AG106" s="44"/>
      <c r="AH106" s="44"/>
      <c r="AI106" s="44"/>
      <c r="AJ106" s="52" t="str">
        <f aca="false">IF(B106="","",SUM($Z$6:Z106))</f>
        <v/>
      </c>
      <c r="AK106" s="52" t="str">
        <f aca="false">IF(AJ106="","",MAX($AJ$6:AJ106))</f>
        <v/>
      </c>
      <c r="AL106" s="52" t="str">
        <f aca="false">IF(AJ106="","",AJ106-AK106)</f>
        <v/>
      </c>
    </row>
    <row r="107" customFormat="false" ht="15" hidden="false" customHeight="false" outlineLevel="0" collapsed="false">
      <c r="A107" s="44"/>
      <c r="B107" s="45"/>
      <c r="C107" s="44"/>
      <c r="D107" s="44"/>
      <c r="E107" s="44"/>
      <c r="F107" s="44"/>
      <c r="G107" s="44"/>
      <c r="H107" s="44"/>
      <c r="I107" s="44"/>
      <c r="J107" s="44"/>
      <c r="K107" s="44"/>
      <c r="L107" s="46"/>
      <c r="M107" s="47"/>
      <c r="N107" s="47"/>
      <c r="O107" s="47"/>
      <c r="P107" s="47"/>
      <c r="Q107" s="47"/>
      <c r="R107" s="48"/>
      <c r="S107" s="49" t="str">
        <f aca="false">IF(E107="","",IFERROR(VLOOKUP(E107,Lists!$A$5:$C$8,2,FALSE()),""))</f>
        <v/>
      </c>
      <c r="T107" s="49" t="str">
        <f aca="false">IF(E107="","",IFERROR(VLOOKUP(E107,Lists!$A$5:$C$8,3,FALSE()),""))</f>
        <v/>
      </c>
      <c r="U107" s="50"/>
      <c r="V107" s="50"/>
      <c r="W107" s="51" t="str">
        <f aca="false">IF(OR(M107="",Q107="",R107="",S107="",T107=""),"",IF(H107="Long",(Q107-M107)/S107*T107*R107,IF(H107="Short",(M107-Q107)/S107*T107*R107,"")))</f>
        <v/>
      </c>
      <c r="X107" s="51" t="str">
        <f aca="false">IF(W107="","",W107-U107-V107)</f>
        <v/>
      </c>
      <c r="Y107" s="51" t="str">
        <f aca="false">IF(OR(M107="",N107="",R107="",S107="",T107=""),"",ABS(M107-N107)/S107*T107*R107+U107+V107)</f>
        <v/>
      </c>
      <c r="Z107" s="52" t="str">
        <f aca="false">IF(OR(X107="",Y107="",Y107=0),"",X107/Y107)</f>
        <v/>
      </c>
      <c r="AA107" s="50"/>
      <c r="AB107" s="50"/>
      <c r="AC107" s="44"/>
      <c r="AD107" s="44"/>
      <c r="AE107" s="44"/>
      <c r="AF107" s="44"/>
      <c r="AG107" s="44"/>
      <c r="AH107" s="44"/>
      <c r="AI107" s="44"/>
      <c r="AJ107" s="52" t="str">
        <f aca="false">IF(B107="","",SUM($Z$6:Z107))</f>
        <v/>
      </c>
      <c r="AK107" s="52" t="str">
        <f aca="false">IF(AJ107="","",MAX($AJ$6:AJ107))</f>
        <v/>
      </c>
      <c r="AL107" s="52" t="str">
        <f aca="false">IF(AJ107="","",AJ107-AK107)</f>
        <v/>
      </c>
    </row>
    <row r="108" customFormat="false" ht="15" hidden="false" customHeight="false" outlineLevel="0" collapsed="false">
      <c r="A108" s="44"/>
      <c r="B108" s="45"/>
      <c r="C108" s="44"/>
      <c r="D108" s="44"/>
      <c r="E108" s="44"/>
      <c r="F108" s="44"/>
      <c r="G108" s="44"/>
      <c r="H108" s="44"/>
      <c r="I108" s="44"/>
      <c r="J108" s="44"/>
      <c r="K108" s="44"/>
      <c r="L108" s="46"/>
      <c r="M108" s="47"/>
      <c r="N108" s="47"/>
      <c r="O108" s="47"/>
      <c r="P108" s="47"/>
      <c r="Q108" s="47"/>
      <c r="R108" s="48"/>
      <c r="S108" s="49" t="str">
        <f aca="false">IF(E108="","",IFERROR(VLOOKUP(E108,Lists!$A$5:$C$8,2,FALSE()),""))</f>
        <v/>
      </c>
      <c r="T108" s="49" t="str">
        <f aca="false">IF(E108="","",IFERROR(VLOOKUP(E108,Lists!$A$5:$C$8,3,FALSE()),""))</f>
        <v/>
      </c>
      <c r="U108" s="50"/>
      <c r="V108" s="50"/>
      <c r="W108" s="51" t="str">
        <f aca="false">IF(OR(M108="",Q108="",R108="",S108="",T108=""),"",IF(H108="Long",(Q108-M108)/S108*T108*R108,IF(H108="Short",(M108-Q108)/S108*T108*R108,"")))</f>
        <v/>
      </c>
      <c r="X108" s="51" t="str">
        <f aca="false">IF(W108="","",W108-U108-V108)</f>
        <v/>
      </c>
      <c r="Y108" s="51" t="str">
        <f aca="false">IF(OR(M108="",N108="",R108="",S108="",T108=""),"",ABS(M108-N108)/S108*T108*R108+U108+V108)</f>
        <v/>
      </c>
      <c r="Z108" s="52" t="str">
        <f aca="false">IF(OR(X108="",Y108="",Y108=0),"",X108/Y108)</f>
        <v/>
      </c>
      <c r="AA108" s="50"/>
      <c r="AB108" s="50"/>
      <c r="AC108" s="44"/>
      <c r="AD108" s="44"/>
      <c r="AE108" s="44"/>
      <c r="AF108" s="44"/>
      <c r="AG108" s="44"/>
      <c r="AH108" s="44"/>
      <c r="AI108" s="44"/>
      <c r="AJ108" s="52" t="str">
        <f aca="false">IF(B108="","",SUM($Z$6:Z108))</f>
        <v/>
      </c>
      <c r="AK108" s="52" t="str">
        <f aca="false">IF(AJ108="","",MAX($AJ$6:AJ108))</f>
        <v/>
      </c>
      <c r="AL108" s="52" t="str">
        <f aca="false">IF(AJ108="","",AJ108-AK108)</f>
        <v/>
      </c>
    </row>
    <row r="109" customFormat="false" ht="15" hidden="false" customHeight="false" outlineLevel="0" collapsed="false">
      <c r="A109" s="44"/>
      <c r="B109" s="45"/>
      <c r="C109" s="44"/>
      <c r="D109" s="44"/>
      <c r="E109" s="44"/>
      <c r="F109" s="44"/>
      <c r="G109" s="44"/>
      <c r="H109" s="44"/>
      <c r="I109" s="44"/>
      <c r="J109" s="44"/>
      <c r="K109" s="44"/>
      <c r="L109" s="46"/>
      <c r="M109" s="47"/>
      <c r="N109" s="47"/>
      <c r="O109" s="47"/>
      <c r="P109" s="47"/>
      <c r="Q109" s="47"/>
      <c r="R109" s="48"/>
      <c r="S109" s="49" t="str">
        <f aca="false">IF(E109="","",IFERROR(VLOOKUP(E109,Lists!$A$5:$C$8,2,FALSE()),""))</f>
        <v/>
      </c>
      <c r="T109" s="49" t="str">
        <f aca="false">IF(E109="","",IFERROR(VLOOKUP(E109,Lists!$A$5:$C$8,3,FALSE()),""))</f>
        <v/>
      </c>
      <c r="U109" s="50"/>
      <c r="V109" s="50"/>
      <c r="W109" s="51" t="str">
        <f aca="false">IF(OR(M109="",Q109="",R109="",S109="",T109=""),"",IF(H109="Long",(Q109-M109)/S109*T109*R109,IF(H109="Short",(M109-Q109)/S109*T109*R109,"")))</f>
        <v/>
      </c>
      <c r="X109" s="51" t="str">
        <f aca="false">IF(W109="","",W109-U109-V109)</f>
        <v/>
      </c>
      <c r="Y109" s="51" t="str">
        <f aca="false">IF(OR(M109="",N109="",R109="",S109="",T109=""),"",ABS(M109-N109)/S109*T109*R109+U109+V109)</f>
        <v/>
      </c>
      <c r="Z109" s="52" t="str">
        <f aca="false">IF(OR(X109="",Y109="",Y109=0),"",X109/Y109)</f>
        <v/>
      </c>
      <c r="AA109" s="50"/>
      <c r="AB109" s="50"/>
      <c r="AC109" s="44"/>
      <c r="AD109" s="44"/>
      <c r="AE109" s="44"/>
      <c r="AF109" s="44"/>
      <c r="AG109" s="44"/>
      <c r="AH109" s="44"/>
      <c r="AI109" s="44"/>
      <c r="AJ109" s="52" t="str">
        <f aca="false">IF(B109="","",SUM($Z$6:Z109))</f>
        <v/>
      </c>
      <c r="AK109" s="52" t="str">
        <f aca="false">IF(AJ109="","",MAX($AJ$6:AJ109))</f>
        <v/>
      </c>
      <c r="AL109" s="52" t="str">
        <f aca="false">IF(AJ109="","",AJ109-AK109)</f>
        <v/>
      </c>
    </row>
    <row r="110" customFormat="false" ht="15" hidden="false" customHeight="false" outlineLevel="0" collapsed="false">
      <c r="A110" s="44"/>
      <c r="B110" s="45"/>
      <c r="C110" s="44"/>
      <c r="D110" s="44"/>
      <c r="E110" s="44"/>
      <c r="F110" s="44"/>
      <c r="G110" s="44"/>
      <c r="H110" s="44"/>
      <c r="I110" s="44"/>
      <c r="J110" s="44"/>
      <c r="K110" s="44"/>
      <c r="L110" s="46"/>
      <c r="M110" s="47"/>
      <c r="N110" s="47"/>
      <c r="O110" s="47"/>
      <c r="P110" s="47"/>
      <c r="Q110" s="47"/>
      <c r="R110" s="48"/>
      <c r="S110" s="49" t="str">
        <f aca="false">IF(E110="","",IFERROR(VLOOKUP(E110,Lists!$A$5:$C$8,2,FALSE()),""))</f>
        <v/>
      </c>
      <c r="T110" s="49" t="str">
        <f aca="false">IF(E110="","",IFERROR(VLOOKUP(E110,Lists!$A$5:$C$8,3,FALSE()),""))</f>
        <v/>
      </c>
      <c r="U110" s="50"/>
      <c r="V110" s="50"/>
      <c r="W110" s="51" t="str">
        <f aca="false">IF(OR(M110="",Q110="",R110="",S110="",T110=""),"",IF(H110="Long",(Q110-M110)/S110*T110*R110,IF(H110="Short",(M110-Q110)/S110*T110*R110,"")))</f>
        <v/>
      </c>
      <c r="X110" s="51" t="str">
        <f aca="false">IF(W110="","",W110-U110-V110)</f>
        <v/>
      </c>
      <c r="Y110" s="51" t="str">
        <f aca="false">IF(OR(M110="",N110="",R110="",S110="",T110=""),"",ABS(M110-N110)/S110*T110*R110+U110+V110)</f>
        <v/>
      </c>
      <c r="Z110" s="52" t="str">
        <f aca="false">IF(OR(X110="",Y110="",Y110=0),"",X110/Y110)</f>
        <v/>
      </c>
      <c r="AA110" s="50"/>
      <c r="AB110" s="50"/>
      <c r="AC110" s="44"/>
      <c r="AD110" s="44"/>
      <c r="AE110" s="44"/>
      <c r="AF110" s="44"/>
      <c r="AG110" s="44"/>
      <c r="AH110" s="44"/>
      <c r="AI110" s="44"/>
      <c r="AJ110" s="52" t="str">
        <f aca="false">IF(B110="","",SUM($Z$6:Z110))</f>
        <v/>
      </c>
      <c r="AK110" s="52" t="str">
        <f aca="false">IF(AJ110="","",MAX($AJ$6:AJ110))</f>
        <v/>
      </c>
      <c r="AL110" s="52" t="str">
        <f aca="false">IF(AJ110="","",AJ110-AK110)</f>
        <v/>
      </c>
    </row>
    <row r="111" customFormat="false" ht="15" hidden="false" customHeight="false" outlineLevel="0" collapsed="false">
      <c r="A111" s="44"/>
      <c r="B111" s="45"/>
      <c r="C111" s="44"/>
      <c r="D111" s="44"/>
      <c r="E111" s="44"/>
      <c r="F111" s="44"/>
      <c r="G111" s="44"/>
      <c r="H111" s="44"/>
      <c r="I111" s="44"/>
      <c r="J111" s="44"/>
      <c r="K111" s="44"/>
      <c r="L111" s="46"/>
      <c r="M111" s="47"/>
      <c r="N111" s="47"/>
      <c r="O111" s="47"/>
      <c r="P111" s="47"/>
      <c r="Q111" s="47"/>
      <c r="R111" s="48"/>
      <c r="S111" s="49" t="str">
        <f aca="false">IF(E111="","",IFERROR(VLOOKUP(E111,Lists!$A$5:$C$8,2,FALSE()),""))</f>
        <v/>
      </c>
      <c r="T111" s="49" t="str">
        <f aca="false">IF(E111="","",IFERROR(VLOOKUP(E111,Lists!$A$5:$C$8,3,FALSE()),""))</f>
        <v/>
      </c>
      <c r="U111" s="50"/>
      <c r="V111" s="50"/>
      <c r="W111" s="51" t="str">
        <f aca="false">IF(OR(M111="",Q111="",R111="",S111="",T111=""),"",IF(H111="Long",(Q111-M111)/S111*T111*R111,IF(H111="Short",(M111-Q111)/S111*T111*R111,"")))</f>
        <v/>
      </c>
      <c r="X111" s="51" t="str">
        <f aca="false">IF(W111="","",W111-U111-V111)</f>
        <v/>
      </c>
      <c r="Y111" s="51" t="str">
        <f aca="false">IF(OR(M111="",N111="",R111="",S111="",T111=""),"",ABS(M111-N111)/S111*T111*R111+U111+V111)</f>
        <v/>
      </c>
      <c r="Z111" s="52" t="str">
        <f aca="false">IF(OR(X111="",Y111="",Y111=0),"",X111/Y111)</f>
        <v/>
      </c>
      <c r="AA111" s="50"/>
      <c r="AB111" s="50"/>
      <c r="AC111" s="44"/>
      <c r="AD111" s="44"/>
      <c r="AE111" s="44"/>
      <c r="AF111" s="44"/>
      <c r="AG111" s="44"/>
      <c r="AH111" s="44"/>
      <c r="AI111" s="44"/>
      <c r="AJ111" s="52" t="str">
        <f aca="false">IF(B111="","",SUM($Z$6:Z111))</f>
        <v/>
      </c>
      <c r="AK111" s="52" t="str">
        <f aca="false">IF(AJ111="","",MAX($AJ$6:AJ111))</f>
        <v/>
      </c>
      <c r="AL111" s="52" t="str">
        <f aca="false">IF(AJ111="","",AJ111-AK111)</f>
        <v/>
      </c>
    </row>
    <row r="112" customFormat="false" ht="15" hidden="false" customHeight="false" outlineLevel="0" collapsed="false">
      <c r="A112" s="44"/>
      <c r="B112" s="45"/>
      <c r="C112" s="44"/>
      <c r="D112" s="44"/>
      <c r="E112" s="44"/>
      <c r="F112" s="44"/>
      <c r="G112" s="44"/>
      <c r="H112" s="44"/>
      <c r="I112" s="44"/>
      <c r="J112" s="44"/>
      <c r="K112" s="44"/>
      <c r="L112" s="46"/>
      <c r="M112" s="47"/>
      <c r="N112" s="47"/>
      <c r="O112" s="47"/>
      <c r="P112" s="47"/>
      <c r="Q112" s="47"/>
      <c r="R112" s="48"/>
      <c r="S112" s="49" t="str">
        <f aca="false">IF(E112="","",IFERROR(VLOOKUP(E112,Lists!$A$5:$C$8,2,FALSE()),""))</f>
        <v/>
      </c>
      <c r="T112" s="49" t="str">
        <f aca="false">IF(E112="","",IFERROR(VLOOKUP(E112,Lists!$A$5:$C$8,3,FALSE()),""))</f>
        <v/>
      </c>
      <c r="U112" s="50"/>
      <c r="V112" s="50"/>
      <c r="W112" s="51" t="str">
        <f aca="false">IF(OR(M112="",Q112="",R112="",S112="",T112=""),"",IF(H112="Long",(Q112-M112)/S112*T112*R112,IF(H112="Short",(M112-Q112)/S112*T112*R112,"")))</f>
        <v/>
      </c>
      <c r="X112" s="51" t="str">
        <f aca="false">IF(W112="","",W112-U112-V112)</f>
        <v/>
      </c>
      <c r="Y112" s="51" t="str">
        <f aca="false">IF(OR(M112="",N112="",R112="",S112="",T112=""),"",ABS(M112-N112)/S112*T112*R112+U112+V112)</f>
        <v/>
      </c>
      <c r="Z112" s="52" t="str">
        <f aca="false">IF(OR(X112="",Y112="",Y112=0),"",X112/Y112)</f>
        <v/>
      </c>
      <c r="AA112" s="50"/>
      <c r="AB112" s="50"/>
      <c r="AC112" s="44"/>
      <c r="AD112" s="44"/>
      <c r="AE112" s="44"/>
      <c r="AF112" s="44"/>
      <c r="AG112" s="44"/>
      <c r="AH112" s="44"/>
      <c r="AI112" s="44"/>
      <c r="AJ112" s="52" t="str">
        <f aca="false">IF(B112="","",SUM($Z$6:Z112))</f>
        <v/>
      </c>
      <c r="AK112" s="52" t="str">
        <f aca="false">IF(AJ112="","",MAX($AJ$6:AJ112))</f>
        <v/>
      </c>
      <c r="AL112" s="52" t="str">
        <f aca="false">IF(AJ112="","",AJ112-AK112)</f>
        <v/>
      </c>
    </row>
    <row r="113" customFormat="false" ht="15" hidden="false" customHeight="false" outlineLevel="0" collapsed="false">
      <c r="A113" s="44"/>
      <c r="B113" s="45"/>
      <c r="C113" s="44"/>
      <c r="D113" s="44"/>
      <c r="E113" s="44"/>
      <c r="F113" s="44"/>
      <c r="G113" s="44"/>
      <c r="H113" s="44"/>
      <c r="I113" s="44"/>
      <c r="J113" s="44"/>
      <c r="K113" s="44"/>
      <c r="L113" s="46"/>
      <c r="M113" s="47"/>
      <c r="N113" s="47"/>
      <c r="O113" s="47"/>
      <c r="P113" s="47"/>
      <c r="Q113" s="47"/>
      <c r="R113" s="48"/>
      <c r="S113" s="49" t="str">
        <f aca="false">IF(E113="","",IFERROR(VLOOKUP(E113,Lists!$A$5:$C$8,2,FALSE()),""))</f>
        <v/>
      </c>
      <c r="T113" s="49" t="str">
        <f aca="false">IF(E113="","",IFERROR(VLOOKUP(E113,Lists!$A$5:$C$8,3,FALSE()),""))</f>
        <v/>
      </c>
      <c r="U113" s="50"/>
      <c r="V113" s="50"/>
      <c r="W113" s="51" t="str">
        <f aca="false">IF(OR(M113="",Q113="",R113="",S113="",T113=""),"",IF(H113="Long",(Q113-M113)/S113*T113*R113,IF(H113="Short",(M113-Q113)/S113*T113*R113,"")))</f>
        <v/>
      </c>
      <c r="X113" s="51" t="str">
        <f aca="false">IF(W113="","",W113-U113-V113)</f>
        <v/>
      </c>
      <c r="Y113" s="51" t="str">
        <f aca="false">IF(OR(M113="",N113="",R113="",S113="",T113=""),"",ABS(M113-N113)/S113*T113*R113+U113+V113)</f>
        <v/>
      </c>
      <c r="Z113" s="52" t="str">
        <f aca="false">IF(OR(X113="",Y113="",Y113=0),"",X113/Y113)</f>
        <v/>
      </c>
      <c r="AA113" s="50"/>
      <c r="AB113" s="50"/>
      <c r="AC113" s="44"/>
      <c r="AD113" s="44"/>
      <c r="AE113" s="44"/>
      <c r="AF113" s="44"/>
      <c r="AG113" s="44"/>
      <c r="AH113" s="44"/>
      <c r="AI113" s="44"/>
      <c r="AJ113" s="52" t="str">
        <f aca="false">IF(B113="","",SUM($Z$6:Z113))</f>
        <v/>
      </c>
      <c r="AK113" s="52" t="str">
        <f aca="false">IF(AJ113="","",MAX($AJ$6:AJ113))</f>
        <v/>
      </c>
      <c r="AL113" s="52" t="str">
        <f aca="false">IF(AJ113="","",AJ113-AK113)</f>
        <v/>
      </c>
    </row>
    <row r="114" customFormat="false" ht="15" hidden="false" customHeight="false" outlineLevel="0" collapsed="false">
      <c r="A114" s="44"/>
      <c r="B114" s="45"/>
      <c r="C114" s="44"/>
      <c r="D114" s="44"/>
      <c r="E114" s="44"/>
      <c r="F114" s="44"/>
      <c r="G114" s="44"/>
      <c r="H114" s="44"/>
      <c r="I114" s="44"/>
      <c r="J114" s="44"/>
      <c r="K114" s="44"/>
      <c r="L114" s="46"/>
      <c r="M114" s="47"/>
      <c r="N114" s="47"/>
      <c r="O114" s="47"/>
      <c r="P114" s="47"/>
      <c r="Q114" s="47"/>
      <c r="R114" s="48"/>
      <c r="S114" s="49" t="str">
        <f aca="false">IF(E114="","",IFERROR(VLOOKUP(E114,Lists!$A$5:$C$8,2,FALSE()),""))</f>
        <v/>
      </c>
      <c r="T114" s="49" t="str">
        <f aca="false">IF(E114="","",IFERROR(VLOOKUP(E114,Lists!$A$5:$C$8,3,FALSE()),""))</f>
        <v/>
      </c>
      <c r="U114" s="50"/>
      <c r="V114" s="50"/>
      <c r="W114" s="51" t="str">
        <f aca="false">IF(OR(M114="",Q114="",R114="",S114="",T114=""),"",IF(H114="Long",(Q114-M114)/S114*T114*R114,IF(H114="Short",(M114-Q114)/S114*T114*R114,"")))</f>
        <v/>
      </c>
      <c r="X114" s="51" t="str">
        <f aca="false">IF(W114="","",W114-U114-V114)</f>
        <v/>
      </c>
      <c r="Y114" s="51" t="str">
        <f aca="false">IF(OR(M114="",N114="",R114="",S114="",T114=""),"",ABS(M114-N114)/S114*T114*R114+U114+V114)</f>
        <v/>
      </c>
      <c r="Z114" s="52" t="str">
        <f aca="false">IF(OR(X114="",Y114="",Y114=0),"",X114/Y114)</f>
        <v/>
      </c>
      <c r="AA114" s="50"/>
      <c r="AB114" s="50"/>
      <c r="AC114" s="44"/>
      <c r="AD114" s="44"/>
      <c r="AE114" s="44"/>
      <c r="AF114" s="44"/>
      <c r="AG114" s="44"/>
      <c r="AH114" s="44"/>
      <c r="AI114" s="44"/>
      <c r="AJ114" s="52" t="str">
        <f aca="false">IF(B114="","",SUM($Z$6:Z114))</f>
        <v/>
      </c>
      <c r="AK114" s="52" t="str">
        <f aca="false">IF(AJ114="","",MAX($AJ$6:AJ114))</f>
        <v/>
      </c>
      <c r="AL114" s="52" t="str">
        <f aca="false">IF(AJ114="","",AJ114-AK114)</f>
        <v/>
      </c>
    </row>
    <row r="115" customFormat="false" ht="15" hidden="false" customHeight="false" outlineLevel="0" collapsed="false">
      <c r="A115" s="44"/>
      <c r="B115" s="45"/>
      <c r="C115" s="44"/>
      <c r="D115" s="44"/>
      <c r="E115" s="44"/>
      <c r="F115" s="44"/>
      <c r="G115" s="44"/>
      <c r="H115" s="44"/>
      <c r="I115" s="44"/>
      <c r="J115" s="44"/>
      <c r="K115" s="44"/>
      <c r="L115" s="46"/>
      <c r="M115" s="47"/>
      <c r="N115" s="47"/>
      <c r="O115" s="47"/>
      <c r="P115" s="47"/>
      <c r="Q115" s="47"/>
      <c r="R115" s="48"/>
      <c r="S115" s="49" t="str">
        <f aca="false">IF(E115="","",IFERROR(VLOOKUP(E115,Lists!$A$5:$C$8,2,FALSE()),""))</f>
        <v/>
      </c>
      <c r="T115" s="49" t="str">
        <f aca="false">IF(E115="","",IFERROR(VLOOKUP(E115,Lists!$A$5:$C$8,3,FALSE()),""))</f>
        <v/>
      </c>
      <c r="U115" s="50"/>
      <c r="V115" s="50"/>
      <c r="W115" s="51" t="str">
        <f aca="false">IF(OR(M115="",Q115="",R115="",S115="",T115=""),"",IF(H115="Long",(Q115-M115)/S115*T115*R115,IF(H115="Short",(M115-Q115)/S115*T115*R115,"")))</f>
        <v/>
      </c>
      <c r="X115" s="51" t="str">
        <f aca="false">IF(W115="","",W115-U115-V115)</f>
        <v/>
      </c>
      <c r="Y115" s="51" t="str">
        <f aca="false">IF(OR(M115="",N115="",R115="",S115="",T115=""),"",ABS(M115-N115)/S115*T115*R115+U115+V115)</f>
        <v/>
      </c>
      <c r="Z115" s="52" t="str">
        <f aca="false">IF(OR(X115="",Y115="",Y115=0),"",X115/Y115)</f>
        <v/>
      </c>
      <c r="AA115" s="50"/>
      <c r="AB115" s="50"/>
      <c r="AC115" s="44"/>
      <c r="AD115" s="44"/>
      <c r="AE115" s="44"/>
      <c r="AF115" s="44"/>
      <c r="AG115" s="44"/>
      <c r="AH115" s="44"/>
      <c r="AI115" s="44"/>
      <c r="AJ115" s="52" t="str">
        <f aca="false">IF(B115="","",SUM($Z$6:Z115))</f>
        <v/>
      </c>
      <c r="AK115" s="52" t="str">
        <f aca="false">IF(AJ115="","",MAX($AJ$6:AJ115))</f>
        <v/>
      </c>
      <c r="AL115" s="52" t="str">
        <f aca="false">IF(AJ115="","",AJ115-AK115)</f>
        <v/>
      </c>
    </row>
    <row r="116" customFormat="false" ht="15" hidden="false" customHeight="false" outlineLevel="0" collapsed="false">
      <c r="A116" s="44"/>
      <c r="B116" s="45"/>
      <c r="C116" s="44"/>
      <c r="D116" s="44"/>
      <c r="E116" s="44"/>
      <c r="F116" s="44"/>
      <c r="G116" s="44"/>
      <c r="H116" s="44"/>
      <c r="I116" s="44"/>
      <c r="J116" s="44"/>
      <c r="K116" s="44"/>
      <c r="L116" s="46"/>
      <c r="M116" s="47"/>
      <c r="N116" s="47"/>
      <c r="O116" s="47"/>
      <c r="P116" s="47"/>
      <c r="Q116" s="47"/>
      <c r="R116" s="48"/>
      <c r="S116" s="49" t="str">
        <f aca="false">IF(E116="","",IFERROR(VLOOKUP(E116,Lists!$A$5:$C$8,2,FALSE()),""))</f>
        <v/>
      </c>
      <c r="T116" s="49" t="str">
        <f aca="false">IF(E116="","",IFERROR(VLOOKUP(E116,Lists!$A$5:$C$8,3,FALSE()),""))</f>
        <v/>
      </c>
      <c r="U116" s="50"/>
      <c r="V116" s="50"/>
      <c r="W116" s="51" t="str">
        <f aca="false">IF(OR(M116="",Q116="",R116="",S116="",T116=""),"",IF(H116="Long",(Q116-M116)/S116*T116*R116,IF(H116="Short",(M116-Q116)/S116*T116*R116,"")))</f>
        <v/>
      </c>
      <c r="X116" s="51" t="str">
        <f aca="false">IF(W116="","",W116-U116-V116)</f>
        <v/>
      </c>
      <c r="Y116" s="51" t="str">
        <f aca="false">IF(OR(M116="",N116="",R116="",S116="",T116=""),"",ABS(M116-N116)/S116*T116*R116+U116+V116)</f>
        <v/>
      </c>
      <c r="Z116" s="52" t="str">
        <f aca="false">IF(OR(X116="",Y116="",Y116=0),"",X116/Y116)</f>
        <v/>
      </c>
      <c r="AA116" s="50"/>
      <c r="AB116" s="50"/>
      <c r="AC116" s="44"/>
      <c r="AD116" s="44"/>
      <c r="AE116" s="44"/>
      <c r="AF116" s="44"/>
      <c r="AG116" s="44"/>
      <c r="AH116" s="44"/>
      <c r="AI116" s="44"/>
      <c r="AJ116" s="52" t="str">
        <f aca="false">IF(B116="","",SUM($Z$6:Z116))</f>
        <v/>
      </c>
      <c r="AK116" s="52" t="str">
        <f aca="false">IF(AJ116="","",MAX($AJ$6:AJ116))</f>
        <v/>
      </c>
      <c r="AL116" s="52" t="str">
        <f aca="false">IF(AJ116="","",AJ116-AK116)</f>
        <v/>
      </c>
    </row>
    <row r="117" customFormat="false" ht="15" hidden="false" customHeight="false" outlineLevel="0" collapsed="false">
      <c r="A117" s="44"/>
      <c r="B117" s="45"/>
      <c r="C117" s="44"/>
      <c r="D117" s="44"/>
      <c r="E117" s="44"/>
      <c r="F117" s="44"/>
      <c r="G117" s="44"/>
      <c r="H117" s="44"/>
      <c r="I117" s="44"/>
      <c r="J117" s="44"/>
      <c r="K117" s="44"/>
      <c r="L117" s="46"/>
      <c r="M117" s="47"/>
      <c r="N117" s="47"/>
      <c r="O117" s="47"/>
      <c r="P117" s="47"/>
      <c r="Q117" s="47"/>
      <c r="R117" s="48"/>
      <c r="S117" s="49" t="str">
        <f aca="false">IF(E117="","",IFERROR(VLOOKUP(E117,Lists!$A$5:$C$8,2,FALSE()),""))</f>
        <v/>
      </c>
      <c r="T117" s="49" t="str">
        <f aca="false">IF(E117="","",IFERROR(VLOOKUP(E117,Lists!$A$5:$C$8,3,FALSE()),""))</f>
        <v/>
      </c>
      <c r="U117" s="50"/>
      <c r="V117" s="50"/>
      <c r="W117" s="51" t="str">
        <f aca="false">IF(OR(M117="",Q117="",R117="",S117="",T117=""),"",IF(H117="Long",(Q117-M117)/S117*T117*R117,IF(H117="Short",(M117-Q117)/S117*T117*R117,"")))</f>
        <v/>
      </c>
      <c r="X117" s="51" t="str">
        <f aca="false">IF(W117="","",W117-U117-V117)</f>
        <v/>
      </c>
      <c r="Y117" s="51" t="str">
        <f aca="false">IF(OR(M117="",N117="",R117="",S117="",T117=""),"",ABS(M117-N117)/S117*T117*R117+U117+V117)</f>
        <v/>
      </c>
      <c r="Z117" s="52" t="str">
        <f aca="false">IF(OR(X117="",Y117="",Y117=0),"",X117/Y117)</f>
        <v/>
      </c>
      <c r="AA117" s="50"/>
      <c r="AB117" s="50"/>
      <c r="AC117" s="44"/>
      <c r="AD117" s="44"/>
      <c r="AE117" s="44"/>
      <c r="AF117" s="44"/>
      <c r="AG117" s="44"/>
      <c r="AH117" s="44"/>
      <c r="AI117" s="44"/>
      <c r="AJ117" s="52" t="str">
        <f aca="false">IF(B117="","",SUM($Z$6:Z117))</f>
        <v/>
      </c>
      <c r="AK117" s="52" t="str">
        <f aca="false">IF(AJ117="","",MAX($AJ$6:AJ117))</f>
        <v/>
      </c>
      <c r="AL117" s="52" t="str">
        <f aca="false">IF(AJ117="","",AJ117-AK117)</f>
        <v/>
      </c>
    </row>
    <row r="118" customFormat="false" ht="15" hidden="false" customHeight="false" outlineLevel="0" collapsed="false">
      <c r="A118" s="44"/>
      <c r="B118" s="45"/>
      <c r="C118" s="44"/>
      <c r="D118" s="44"/>
      <c r="E118" s="44"/>
      <c r="F118" s="44"/>
      <c r="G118" s="44"/>
      <c r="H118" s="44"/>
      <c r="I118" s="44"/>
      <c r="J118" s="44"/>
      <c r="K118" s="44"/>
      <c r="L118" s="46"/>
      <c r="M118" s="47"/>
      <c r="N118" s="47"/>
      <c r="O118" s="47"/>
      <c r="P118" s="47"/>
      <c r="Q118" s="47"/>
      <c r="R118" s="48"/>
      <c r="S118" s="49" t="str">
        <f aca="false">IF(E118="","",IFERROR(VLOOKUP(E118,Lists!$A$5:$C$8,2,FALSE()),""))</f>
        <v/>
      </c>
      <c r="T118" s="49" t="str">
        <f aca="false">IF(E118="","",IFERROR(VLOOKUP(E118,Lists!$A$5:$C$8,3,FALSE()),""))</f>
        <v/>
      </c>
      <c r="U118" s="50"/>
      <c r="V118" s="50"/>
      <c r="W118" s="51" t="str">
        <f aca="false">IF(OR(M118="",Q118="",R118="",S118="",T118=""),"",IF(H118="Long",(Q118-M118)/S118*T118*R118,IF(H118="Short",(M118-Q118)/S118*T118*R118,"")))</f>
        <v/>
      </c>
      <c r="X118" s="51" t="str">
        <f aca="false">IF(W118="","",W118-U118-V118)</f>
        <v/>
      </c>
      <c r="Y118" s="51" t="str">
        <f aca="false">IF(OR(M118="",N118="",R118="",S118="",T118=""),"",ABS(M118-N118)/S118*T118*R118+U118+V118)</f>
        <v/>
      </c>
      <c r="Z118" s="52" t="str">
        <f aca="false">IF(OR(X118="",Y118="",Y118=0),"",X118/Y118)</f>
        <v/>
      </c>
      <c r="AA118" s="50"/>
      <c r="AB118" s="50"/>
      <c r="AC118" s="44"/>
      <c r="AD118" s="44"/>
      <c r="AE118" s="44"/>
      <c r="AF118" s="44"/>
      <c r="AG118" s="44"/>
      <c r="AH118" s="44"/>
      <c r="AI118" s="44"/>
      <c r="AJ118" s="52" t="str">
        <f aca="false">IF(B118="","",SUM($Z$6:Z118))</f>
        <v/>
      </c>
      <c r="AK118" s="52" t="str">
        <f aca="false">IF(AJ118="","",MAX($AJ$6:AJ118))</f>
        <v/>
      </c>
      <c r="AL118" s="52" t="str">
        <f aca="false">IF(AJ118="","",AJ118-AK118)</f>
        <v/>
      </c>
    </row>
    <row r="119" customFormat="false" ht="15" hidden="false" customHeight="false" outlineLevel="0" collapsed="false">
      <c r="A119" s="44"/>
      <c r="B119" s="45"/>
      <c r="C119" s="44"/>
      <c r="D119" s="44"/>
      <c r="E119" s="44"/>
      <c r="F119" s="44"/>
      <c r="G119" s="44"/>
      <c r="H119" s="44"/>
      <c r="I119" s="44"/>
      <c r="J119" s="44"/>
      <c r="K119" s="44"/>
      <c r="L119" s="46"/>
      <c r="M119" s="47"/>
      <c r="N119" s="47"/>
      <c r="O119" s="47"/>
      <c r="P119" s="47"/>
      <c r="Q119" s="47"/>
      <c r="R119" s="48"/>
      <c r="S119" s="49" t="str">
        <f aca="false">IF(E119="","",IFERROR(VLOOKUP(E119,Lists!$A$5:$C$8,2,FALSE()),""))</f>
        <v/>
      </c>
      <c r="T119" s="49" t="str">
        <f aca="false">IF(E119="","",IFERROR(VLOOKUP(E119,Lists!$A$5:$C$8,3,FALSE()),""))</f>
        <v/>
      </c>
      <c r="U119" s="50"/>
      <c r="V119" s="50"/>
      <c r="W119" s="51" t="str">
        <f aca="false">IF(OR(M119="",Q119="",R119="",S119="",T119=""),"",IF(H119="Long",(Q119-M119)/S119*T119*R119,IF(H119="Short",(M119-Q119)/S119*T119*R119,"")))</f>
        <v/>
      </c>
      <c r="X119" s="51" t="str">
        <f aca="false">IF(W119="","",W119-U119-V119)</f>
        <v/>
      </c>
      <c r="Y119" s="51" t="str">
        <f aca="false">IF(OR(M119="",N119="",R119="",S119="",T119=""),"",ABS(M119-N119)/S119*T119*R119+U119+V119)</f>
        <v/>
      </c>
      <c r="Z119" s="52" t="str">
        <f aca="false">IF(OR(X119="",Y119="",Y119=0),"",X119/Y119)</f>
        <v/>
      </c>
      <c r="AA119" s="50"/>
      <c r="AB119" s="50"/>
      <c r="AC119" s="44"/>
      <c r="AD119" s="44"/>
      <c r="AE119" s="44"/>
      <c r="AF119" s="44"/>
      <c r="AG119" s="44"/>
      <c r="AH119" s="44"/>
      <c r="AI119" s="44"/>
      <c r="AJ119" s="52" t="str">
        <f aca="false">IF(B119="","",SUM($Z$6:Z119))</f>
        <v/>
      </c>
      <c r="AK119" s="52" t="str">
        <f aca="false">IF(AJ119="","",MAX($AJ$6:AJ119))</f>
        <v/>
      </c>
      <c r="AL119" s="52" t="str">
        <f aca="false">IF(AJ119="","",AJ119-AK119)</f>
        <v/>
      </c>
    </row>
    <row r="120" customFormat="false" ht="15" hidden="false" customHeight="false" outlineLevel="0" collapsed="false">
      <c r="A120" s="44"/>
      <c r="B120" s="45"/>
      <c r="C120" s="44"/>
      <c r="D120" s="44"/>
      <c r="E120" s="44"/>
      <c r="F120" s="44"/>
      <c r="G120" s="44"/>
      <c r="H120" s="44"/>
      <c r="I120" s="44"/>
      <c r="J120" s="44"/>
      <c r="K120" s="44"/>
      <c r="L120" s="46"/>
      <c r="M120" s="47"/>
      <c r="N120" s="47"/>
      <c r="O120" s="47"/>
      <c r="P120" s="47"/>
      <c r="Q120" s="47"/>
      <c r="R120" s="48"/>
      <c r="S120" s="49" t="str">
        <f aca="false">IF(E120="","",IFERROR(VLOOKUP(E120,Lists!$A$5:$C$8,2,FALSE()),""))</f>
        <v/>
      </c>
      <c r="T120" s="49" t="str">
        <f aca="false">IF(E120="","",IFERROR(VLOOKUP(E120,Lists!$A$5:$C$8,3,FALSE()),""))</f>
        <v/>
      </c>
      <c r="U120" s="50"/>
      <c r="V120" s="50"/>
      <c r="W120" s="51" t="str">
        <f aca="false">IF(OR(M120="",Q120="",R120="",S120="",T120=""),"",IF(H120="Long",(Q120-M120)/S120*T120*R120,IF(H120="Short",(M120-Q120)/S120*T120*R120,"")))</f>
        <v/>
      </c>
      <c r="X120" s="51" t="str">
        <f aca="false">IF(W120="","",W120-U120-V120)</f>
        <v/>
      </c>
      <c r="Y120" s="51" t="str">
        <f aca="false">IF(OR(M120="",N120="",R120="",S120="",T120=""),"",ABS(M120-N120)/S120*T120*R120+U120+V120)</f>
        <v/>
      </c>
      <c r="Z120" s="52" t="str">
        <f aca="false">IF(OR(X120="",Y120="",Y120=0),"",X120/Y120)</f>
        <v/>
      </c>
      <c r="AA120" s="50"/>
      <c r="AB120" s="50"/>
      <c r="AC120" s="44"/>
      <c r="AD120" s="44"/>
      <c r="AE120" s="44"/>
      <c r="AF120" s="44"/>
      <c r="AG120" s="44"/>
      <c r="AH120" s="44"/>
      <c r="AI120" s="44"/>
      <c r="AJ120" s="52" t="str">
        <f aca="false">IF(B120="","",SUM($Z$6:Z120))</f>
        <v/>
      </c>
      <c r="AK120" s="52" t="str">
        <f aca="false">IF(AJ120="","",MAX($AJ$6:AJ120))</f>
        <v/>
      </c>
      <c r="AL120" s="52" t="str">
        <f aca="false">IF(AJ120="","",AJ120-AK120)</f>
        <v/>
      </c>
    </row>
    <row r="121" customFormat="false" ht="15" hidden="false" customHeight="false" outlineLevel="0" collapsed="false">
      <c r="A121" s="44"/>
      <c r="B121" s="45"/>
      <c r="C121" s="44"/>
      <c r="D121" s="44"/>
      <c r="E121" s="44"/>
      <c r="F121" s="44"/>
      <c r="G121" s="44"/>
      <c r="H121" s="44"/>
      <c r="I121" s="44"/>
      <c r="J121" s="44"/>
      <c r="K121" s="44"/>
      <c r="L121" s="46"/>
      <c r="M121" s="47"/>
      <c r="N121" s="47"/>
      <c r="O121" s="47"/>
      <c r="P121" s="47"/>
      <c r="Q121" s="47"/>
      <c r="R121" s="48"/>
      <c r="S121" s="49" t="str">
        <f aca="false">IF(E121="","",IFERROR(VLOOKUP(E121,Lists!$A$5:$C$8,2,FALSE()),""))</f>
        <v/>
      </c>
      <c r="T121" s="49" t="str">
        <f aca="false">IF(E121="","",IFERROR(VLOOKUP(E121,Lists!$A$5:$C$8,3,FALSE()),""))</f>
        <v/>
      </c>
      <c r="U121" s="50"/>
      <c r="V121" s="50"/>
      <c r="W121" s="51" t="str">
        <f aca="false">IF(OR(M121="",Q121="",R121="",S121="",T121=""),"",IF(H121="Long",(Q121-M121)/S121*T121*R121,IF(H121="Short",(M121-Q121)/S121*T121*R121,"")))</f>
        <v/>
      </c>
      <c r="X121" s="51" t="str">
        <f aca="false">IF(W121="","",W121-U121-V121)</f>
        <v/>
      </c>
      <c r="Y121" s="51" t="str">
        <f aca="false">IF(OR(M121="",N121="",R121="",S121="",T121=""),"",ABS(M121-N121)/S121*T121*R121+U121+V121)</f>
        <v/>
      </c>
      <c r="Z121" s="52" t="str">
        <f aca="false">IF(OR(X121="",Y121="",Y121=0),"",X121/Y121)</f>
        <v/>
      </c>
      <c r="AA121" s="50"/>
      <c r="AB121" s="50"/>
      <c r="AC121" s="44"/>
      <c r="AD121" s="44"/>
      <c r="AE121" s="44"/>
      <c r="AF121" s="44"/>
      <c r="AG121" s="44"/>
      <c r="AH121" s="44"/>
      <c r="AI121" s="44"/>
      <c r="AJ121" s="52" t="str">
        <f aca="false">IF(B121="","",SUM($Z$6:Z121))</f>
        <v/>
      </c>
      <c r="AK121" s="52" t="str">
        <f aca="false">IF(AJ121="","",MAX($AJ$6:AJ121))</f>
        <v/>
      </c>
      <c r="AL121" s="52" t="str">
        <f aca="false">IF(AJ121="","",AJ121-AK121)</f>
        <v/>
      </c>
    </row>
    <row r="122" customFormat="false" ht="15" hidden="false" customHeight="false" outlineLevel="0" collapsed="false">
      <c r="A122" s="44"/>
      <c r="B122" s="45"/>
      <c r="C122" s="44"/>
      <c r="D122" s="44"/>
      <c r="E122" s="44"/>
      <c r="F122" s="44"/>
      <c r="G122" s="44"/>
      <c r="H122" s="44"/>
      <c r="I122" s="44"/>
      <c r="J122" s="44"/>
      <c r="K122" s="44"/>
      <c r="L122" s="46"/>
      <c r="M122" s="47"/>
      <c r="N122" s="47"/>
      <c r="O122" s="47"/>
      <c r="P122" s="47"/>
      <c r="Q122" s="47"/>
      <c r="R122" s="48"/>
      <c r="S122" s="49" t="str">
        <f aca="false">IF(E122="","",IFERROR(VLOOKUP(E122,Lists!$A$5:$C$8,2,FALSE()),""))</f>
        <v/>
      </c>
      <c r="T122" s="49" t="str">
        <f aca="false">IF(E122="","",IFERROR(VLOOKUP(E122,Lists!$A$5:$C$8,3,FALSE()),""))</f>
        <v/>
      </c>
      <c r="U122" s="50"/>
      <c r="V122" s="50"/>
      <c r="W122" s="51" t="str">
        <f aca="false">IF(OR(M122="",Q122="",R122="",S122="",T122=""),"",IF(H122="Long",(Q122-M122)/S122*T122*R122,IF(H122="Short",(M122-Q122)/S122*T122*R122,"")))</f>
        <v/>
      </c>
      <c r="X122" s="51" t="str">
        <f aca="false">IF(W122="","",W122-U122-V122)</f>
        <v/>
      </c>
      <c r="Y122" s="51" t="str">
        <f aca="false">IF(OR(M122="",N122="",R122="",S122="",T122=""),"",ABS(M122-N122)/S122*T122*R122+U122+V122)</f>
        <v/>
      </c>
      <c r="Z122" s="52" t="str">
        <f aca="false">IF(OR(X122="",Y122="",Y122=0),"",X122/Y122)</f>
        <v/>
      </c>
      <c r="AA122" s="50"/>
      <c r="AB122" s="50"/>
      <c r="AC122" s="44"/>
      <c r="AD122" s="44"/>
      <c r="AE122" s="44"/>
      <c r="AF122" s="44"/>
      <c r="AG122" s="44"/>
      <c r="AH122" s="44"/>
      <c r="AI122" s="44"/>
      <c r="AJ122" s="52" t="str">
        <f aca="false">IF(B122="","",SUM($Z$6:Z122))</f>
        <v/>
      </c>
      <c r="AK122" s="52" t="str">
        <f aca="false">IF(AJ122="","",MAX($AJ$6:AJ122))</f>
        <v/>
      </c>
      <c r="AL122" s="52" t="str">
        <f aca="false">IF(AJ122="","",AJ122-AK122)</f>
        <v/>
      </c>
    </row>
    <row r="123" customFormat="false" ht="15" hidden="false" customHeight="false" outlineLevel="0" collapsed="false">
      <c r="A123" s="44"/>
      <c r="B123" s="45"/>
      <c r="C123" s="44"/>
      <c r="D123" s="44"/>
      <c r="E123" s="44"/>
      <c r="F123" s="44"/>
      <c r="G123" s="44"/>
      <c r="H123" s="44"/>
      <c r="I123" s="44"/>
      <c r="J123" s="44"/>
      <c r="K123" s="44"/>
      <c r="L123" s="46"/>
      <c r="M123" s="47"/>
      <c r="N123" s="47"/>
      <c r="O123" s="47"/>
      <c r="P123" s="47"/>
      <c r="Q123" s="47"/>
      <c r="R123" s="48"/>
      <c r="S123" s="49" t="str">
        <f aca="false">IF(E123="","",IFERROR(VLOOKUP(E123,Lists!$A$5:$C$8,2,FALSE()),""))</f>
        <v/>
      </c>
      <c r="T123" s="49" t="str">
        <f aca="false">IF(E123="","",IFERROR(VLOOKUP(E123,Lists!$A$5:$C$8,3,FALSE()),""))</f>
        <v/>
      </c>
      <c r="U123" s="50"/>
      <c r="V123" s="50"/>
      <c r="W123" s="51" t="str">
        <f aca="false">IF(OR(M123="",Q123="",R123="",S123="",T123=""),"",IF(H123="Long",(Q123-M123)/S123*T123*R123,IF(H123="Short",(M123-Q123)/S123*T123*R123,"")))</f>
        <v/>
      </c>
      <c r="X123" s="51" t="str">
        <f aca="false">IF(W123="","",W123-U123-V123)</f>
        <v/>
      </c>
      <c r="Y123" s="51" t="str">
        <f aca="false">IF(OR(M123="",N123="",R123="",S123="",T123=""),"",ABS(M123-N123)/S123*T123*R123+U123+V123)</f>
        <v/>
      </c>
      <c r="Z123" s="52" t="str">
        <f aca="false">IF(OR(X123="",Y123="",Y123=0),"",X123/Y123)</f>
        <v/>
      </c>
      <c r="AA123" s="50"/>
      <c r="AB123" s="50"/>
      <c r="AC123" s="44"/>
      <c r="AD123" s="44"/>
      <c r="AE123" s="44"/>
      <c r="AF123" s="44"/>
      <c r="AG123" s="44"/>
      <c r="AH123" s="44"/>
      <c r="AI123" s="44"/>
      <c r="AJ123" s="52" t="str">
        <f aca="false">IF(B123="","",SUM($Z$6:Z123))</f>
        <v/>
      </c>
      <c r="AK123" s="52" t="str">
        <f aca="false">IF(AJ123="","",MAX($AJ$6:AJ123))</f>
        <v/>
      </c>
      <c r="AL123" s="52" t="str">
        <f aca="false">IF(AJ123="","",AJ123-AK123)</f>
        <v/>
      </c>
    </row>
    <row r="124" customFormat="false" ht="15" hidden="false" customHeight="false" outlineLevel="0" collapsed="false">
      <c r="A124" s="44"/>
      <c r="B124" s="45"/>
      <c r="C124" s="44"/>
      <c r="D124" s="44"/>
      <c r="E124" s="44"/>
      <c r="F124" s="44"/>
      <c r="G124" s="44"/>
      <c r="H124" s="44"/>
      <c r="I124" s="44"/>
      <c r="J124" s="44"/>
      <c r="K124" s="44"/>
      <c r="L124" s="46"/>
      <c r="M124" s="47"/>
      <c r="N124" s="47"/>
      <c r="O124" s="47"/>
      <c r="P124" s="47"/>
      <c r="Q124" s="47"/>
      <c r="R124" s="48"/>
      <c r="S124" s="49" t="str">
        <f aca="false">IF(E124="","",IFERROR(VLOOKUP(E124,Lists!$A$5:$C$8,2,FALSE()),""))</f>
        <v/>
      </c>
      <c r="T124" s="49" t="str">
        <f aca="false">IF(E124="","",IFERROR(VLOOKUP(E124,Lists!$A$5:$C$8,3,FALSE()),""))</f>
        <v/>
      </c>
      <c r="U124" s="50"/>
      <c r="V124" s="50"/>
      <c r="W124" s="51" t="str">
        <f aca="false">IF(OR(M124="",Q124="",R124="",S124="",T124=""),"",IF(H124="Long",(Q124-M124)/S124*T124*R124,IF(H124="Short",(M124-Q124)/S124*T124*R124,"")))</f>
        <v/>
      </c>
      <c r="X124" s="51" t="str">
        <f aca="false">IF(W124="","",W124-U124-V124)</f>
        <v/>
      </c>
      <c r="Y124" s="51" t="str">
        <f aca="false">IF(OR(M124="",N124="",R124="",S124="",T124=""),"",ABS(M124-N124)/S124*T124*R124+U124+V124)</f>
        <v/>
      </c>
      <c r="Z124" s="52" t="str">
        <f aca="false">IF(OR(X124="",Y124="",Y124=0),"",X124/Y124)</f>
        <v/>
      </c>
      <c r="AA124" s="50"/>
      <c r="AB124" s="50"/>
      <c r="AC124" s="44"/>
      <c r="AD124" s="44"/>
      <c r="AE124" s="44"/>
      <c r="AF124" s="44"/>
      <c r="AG124" s="44"/>
      <c r="AH124" s="44"/>
      <c r="AI124" s="44"/>
      <c r="AJ124" s="52" t="str">
        <f aca="false">IF(B124="","",SUM($Z$6:Z124))</f>
        <v/>
      </c>
      <c r="AK124" s="52" t="str">
        <f aca="false">IF(AJ124="","",MAX($AJ$6:AJ124))</f>
        <v/>
      </c>
      <c r="AL124" s="52" t="str">
        <f aca="false">IF(AJ124="","",AJ124-AK124)</f>
        <v/>
      </c>
    </row>
    <row r="125" customFormat="false" ht="15" hidden="false" customHeight="false" outlineLevel="0" collapsed="false">
      <c r="A125" s="44"/>
      <c r="B125" s="45"/>
      <c r="C125" s="44"/>
      <c r="D125" s="44"/>
      <c r="E125" s="44"/>
      <c r="F125" s="44"/>
      <c r="G125" s="44"/>
      <c r="H125" s="44"/>
      <c r="I125" s="44"/>
      <c r="J125" s="44"/>
      <c r="K125" s="44"/>
      <c r="L125" s="46"/>
      <c r="M125" s="47"/>
      <c r="N125" s="47"/>
      <c r="O125" s="47"/>
      <c r="P125" s="47"/>
      <c r="Q125" s="47"/>
      <c r="R125" s="48"/>
      <c r="S125" s="49" t="str">
        <f aca="false">IF(E125="","",IFERROR(VLOOKUP(E125,Lists!$A$5:$C$8,2,FALSE()),""))</f>
        <v/>
      </c>
      <c r="T125" s="49" t="str">
        <f aca="false">IF(E125="","",IFERROR(VLOOKUP(E125,Lists!$A$5:$C$8,3,FALSE()),""))</f>
        <v/>
      </c>
      <c r="U125" s="50"/>
      <c r="V125" s="50"/>
      <c r="W125" s="51" t="str">
        <f aca="false">IF(OR(M125="",Q125="",R125="",S125="",T125=""),"",IF(H125="Long",(Q125-M125)/S125*T125*R125,IF(H125="Short",(M125-Q125)/S125*T125*R125,"")))</f>
        <v/>
      </c>
      <c r="X125" s="51" t="str">
        <f aca="false">IF(W125="","",W125-U125-V125)</f>
        <v/>
      </c>
      <c r="Y125" s="51" t="str">
        <f aca="false">IF(OR(M125="",N125="",R125="",S125="",T125=""),"",ABS(M125-N125)/S125*T125*R125+U125+V125)</f>
        <v/>
      </c>
      <c r="Z125" s="52" t="str">
        <f aca="false">IF(OR(X125="",Y125="",Y125=0),"",X125/Y125)</f>
        <v/>
      </c>
      <c r="AA125" s="50"/>
      <c r="AB125" s="50"/>
      <c r="AC125" s="44"/>
      <c r="AD125" s="44"/>
      <c r="AE125" s="44"/>
      <c r="AF125" s="44"/>
      <c r="AG125" s="44"/>
      <c r="AH125" s="44"/>
      <c r="AI125" s="44"/>
      <c r="AJ125" s="52" t="str">
        <f aca="false">IF(B125="","",SUM($Z$6:Z125))</f>
        <v/>
      </c>
      <c r="AK125" s="52" t="str">
        <f aca="false">IF(AJ125="","",MAX($AJ$6:AJ125))</f>
        <v/>
      </c>
      <c r="AL125" s="52" t="str">
        <f aca="false">IF(AJ125="","",AJ125-AK125)</f>
        <v/>
      </c>
    </row>
    <row r="126" customFormat="false" ht="15" hidden="false" customHeight="false" outlineLevel="0" collapsed="false">
      <c r="A126" s="44"/>
      <c r="B126" s="45"/>
      <c r="C126" s="44"/>
      <c r="D126" s="44"/>
      <c r="E126" s="44"/>
      <c r="F126" s="44"/>
      <c r="G126" s="44"/>
      <c r="H126" s="44"/>
      <c r="I126" s="44"/>
      <c r="J126" s="44"/>
      <c r="K126" s="44"/>
      <c r="L126" s="46"/>
      <c r="M126" s="47"/>
      <c r="N126" s="47"/>
      <c r="O126" s="47"/>
      <c r="P126" s="47"/>
      <c r="Q126" s="47"/>
      <c r="R126" s="48"/>
      <c r="S126" s="49" t="str">
        <f aca="false">IF(E126="","",IFERROR(VLOOKUP(E126,Lists!$A$5:$C$8,2,FALSE()),""))</f>
        <v/>
      </c>
      <c r="T126" s="49" t="str">
        <f aca="false">IF(E126="","",IFERROR(VLOOKUP(E126,Lists!$A$5:$C$8,3,FALSE()),""))</f>
        <v/>
      </c>
      <c r="U126" s="50"/>
      <c r="V126" s="50"/>
      <c r="W126" s="51" t="str">
        <f aca="false">IF(OR(M126="",Q126="",R126="",S126="",T126=""),"",IF(H126="Long",(Q126-M126)/S126*T126*R126,IF(H126="Short",(M126-Q126)/S126*T126*R126,"")))</f>
        <v/>
      </c>
      <c r="X126" s="51" t="str">
        <f aca="false">IF(W126="","",W126-U126-V126)</f>
        <v/>
      </c>
      <c r="Y126" s="51" t="str">
        <f aca="false">IF(OR(M126="",N126="",R126="",S126="",T126=""),"",ABS(M126-N126)/S126*T126*R126+U126+V126)</f>
        <v/>
      </c>
      <c r="Z126" s="52" t="str">
        <f aca="false">IF(OR(X126="",Y126="",Y126=0),"",X126/Y126)</f>
        <v/>
      </c>
      <c r="AA126" s="50"/>
      <c r="AB126" s="50"/>
      <c r="AC126" s="44"/>
      <c r="AD126" s="44"/>
      <c r="AE126" s="44"/>
      <c r="AF126" s="44"/>
      <c r="AG126" s="44"/>
      <c r="AH126" s="44"/>
      <c r="AI126" s="44"/>
      <c r="AJ126" s="52" t="str">
        <f aca="false">IF(B126="","",SUM($Z$6:Z126))</f>
        <v/>
      </c>
      <c r="AK126" s="52" t="str">
        <f aca="false">IF(AJ126="","",MAX($AJ$6:AJ126))</f>
        <v/>
      </c>
      <c r="AL126" s="52" t="str">
        <f aca="false">IF(AJ126="","",AJ126-AK126)</f>
        <v/>
      </c>
    </row>
    <row r="127" customFormat="false" ht="15" hidden="false" customHeight="false" outlineLevel="0" collapsed="false">
      <c r="A127" s="44"/>
      <c r="B127" s="45"/>
      <c r="C127" s="44"/>
      <c r="D127" s="44"/>
      <c r="E127" s="44"/>
      <c r="F127" s="44"/>
      <c r="G127" s="44"/>
      <c r="H127" s="44"/>
      <c r="I127" s="44"/>
      <c r="J127" s="44"/>
      <c r="K127" s="44"/>
      <c r="L127" s="46"/>
      <c r="M127" s="47"/>
      <c r="N127" s="47"/>
      <c r="O127" s="47"/>
      <c r="P127" s="47"/>
      <c r="Q127" s="47"/>
      <c r="R127" s="48"/>
      <c r="S127" s="49" t="str">
        <f aca="false">IF(E127="","",IFERROR(VLOOKUP(E127,Lists!$A$5:$C$8,2,FALSE()),""))</f>
        <v/>
      </c>
      <c r="T127" s="49" t="str">
        <f aca="false">IF(E127="","",IFERROR(VLOOKUP(E127,Lists!$A$5:$C$8,3,FALSE()),""))</f>
        <v/>
      </c>
      <c r="U127" s="50"/>
      <c r="V127" s="50"/>
      <c r="W127" s="51" t="str">
        <f aca="false">IF(OR(M127="",Q127="",R127="",S127="",T127=""),"",IF(H127="Long",(Q127-M127)/S127*T127*R127,IF(H127="Short",(M127-Q127)/S127*T127*R127,"")))</f>
        <v/>
      </c>
      <c r="X127" s="51" t="str">
        <f aca="false">IF(W127="","",W127-U127-V127)</f>
        <v/>
      </c>
      <c r="Y127" s="51" t="str">
        <f aca="false">IF(OR(M127="",N127="",R127="",S127="",T127=""),"",ABS(M127-N127)/S127*T127*R127+U127+V127)</f>
        <v/>
      </c>
      <c r="Z127" s="52" t="str">
        <f aca="false">IF(OR(X127="",Y127="",Y127=0),"",X127/Y127)</f>
        <v/>
      </c>
      <c r="AA127" s="50"/>
      <c r="AB127" s="50"/>
      <c r="AC127" s="44"/>
      <c r="AD127" s="44"/>
      <c r="AE127" s="44"/>
      <c r="AF127" s="44"/>
      <c r="AG127" s="44"/>
      <c r="AH127" s="44"/>
      <c r="AI127" s="44"/>
      <c r="AJ127" s="52" t="str">
        <f aca="false">IF(B127="","",SUM($Z$6:Z127))</f>
        <v/>
      </c>
      <c r="AK127" s="52" t="str">
        <f aca="false">IF(AJ127="","",MAX($AJ$6:AJ127))</f>
        <v/>
      </c>
      <c r="AL127" s="52" t="str">
        <f aca="false">IF(AJ127="","",AJ127-AK127)</f>
        <v/>
      </c>
    </row>
    <row r="128" customFormat="false" ht="15" hidden="false" customHeight="false" outlineLevel="0" collapsed="false">
      <c r="A128" s="44"/>
      <c r="B128" s="45"/>
      <c r="C128" s="44"/>
      <c r="D128" s="44"/>
      <c r="E128" s="44"/>
      <c r="F128" s="44"/>
      <c r="G128" s="44"/>
      <c r="H128" s="44"/>
      <c r="I128" s="44"/>
      <c r="J128" s="44"/>
      <c r="K128" s="44"/>
      <c r="L128" s="46"/>
      <c r="M128" s="47"/>
      <c r="N128" s="47"/>
      <c r="O128" s="47"/>
      <c r="P128" s="47"/>
      <c r="Q128" s="47"/>
      <c r="R128" s="48"/>
      <c r="S128" s="49" t="str">
        <f aca="false">IF(E128="","",IFERROR(VLOOKUP(E128,Lists!$A$5:$C$8,2,FALSE()),""))</f>
        <v/>
      </c>
      <c r="T128" s="49" t="str">
        <f aca="false">IF(E128="","",IFERROR(VLOOKUP(E128,Lists!$A$5:$C$8,3,FALSE()),""))</f>
        <v/>
      </c>
      <c r="U128" s="50"/>
      <c r="V128" s="50"/>
      <c r="W128" s="51" t="str">
        <f aca="false">IF(OR(M128="",Q128="",R128="",S128="",T128=""),"",IF(H128="Long",(Q128-M128)/S128*T128*R128,IF(H128="Short",(M128-Q128)/S128*T128*R128,"")))</f>
        <v/>
      </c>
      <c r="X128" s="51" t="str">
        <f aca="false">IF(W128="","",W128-U128-V128)</f>
        <v/>
      </c>
      <c r="Y128" s="51" t="str">
        <f aca="false">IF(OR(M128="",N128="",R128="",S128="",T128=""),"",ABS(M128-N128)/S128*T128*R128+U128+V128)</f>
        <v/>
      </c>
      <c r="Z128" s="52" t="str">
        <f aca="false">IF(OR(X128="",Y128="",Y128=0),"",X128/Y128)</f>
        <v/>
      </c>
      <c r="AA128" s="50"/>
      <c r="AB128" s="50"/>
      <c r="AC128" s="44"/>
      <c r="AD128" s="44"/>
      <c r="AE128" s="44"/>
      <c r="AF128" s="44"/>
      <c r="AG128" s="44"/>
      <c r="AH128" s="44"/>
      <c r="AI128" s="44"/>
      <c r="AJ128" s="52" t="str">
        <f aca="false">IF(B128="","",SUM($Z$6:Z128))</f>
        <v/>
      </c>
      <c r="AK128" s="52" t="str">
        <f aca="false">IF(AJ128="","",MAX($AJ$6:AJ128))</f>
        <v/>
      </c>
      <c r="AL128" s="52" t="str">
        <f aca="false">IF(AJ128="","",AJ128-AK128)</f>
        <v/>
      </c>
    </row>
    <row r="129" customFormat="false" ht="15" hidden="false" customHeight="false" outlineLevel="0" collapsed="false">
      <c r="A129" s="44"/>
      <c r="B129" s="45"/>
      <c r="C129" s="44"/>
      <c r="D129" s="44"/>
      <c r="E129" s="44"/>
      <c r="F129" s="44"/>
      <c r="G129" s="44"/>
      <c r="H129" s="44"/>
      <c r="I129" s="44"/>
      <c r="J129" s="44"/>
      <c r="K129" s="44"/>
      <c r="L129" s="46"/>
      <c r="M129" s="47"/>
      <c r="N129" s="47"/>
      <c r="O129" s="47"/>
      <c r="P129" s="47"/>
      <c r="Q129" s="47"/>
      <c r="R129" s="48"/>
      <c r="S129" s="49" t="str">
        <f aca="false">IF(E129="","",IFERROR(VLOOKUP(E129,Lists!$A$5:$C$8,2,FALSE()),""))</f>
        <v/>
      </c>
      <c r="T129" s="49" t="str">
        <f aca="false">IF(E129="","",IFERROR(VLOOKUP(E129,Lists!$A$5:$C$8,3,FALSE()),""))</f>
        <v/>
      </c>
      <c r="U129" s="50"/>
      <c r="V129" s="50"/>
      <c r="W129" s="51" t="str">
        <f aca="false">IF(OR(M129="",Q129="",R129="",S129="",T129=""),"",IF(H129="Long",(Q129-M129)/S129*T129*R129,IF(H129="Short",(M129-Q129)/S129*T129*R129,"")))</f>
        <v/>
      </c>
      <c r="X129" s="51" t="str">
        <f aca="false">IF(W129="","",W129-U129-V129)</f>
        <v/>
      </c>
      <c r="Y129" s="51" t="str">
        <f aca="false">IF(OR(M129="",N129="",R129="",S129="",T129=""),"",ABS(M129-N129)/S129*T129*R129+U129+V129)</f>
        <v/>
      </c>
      <c r="Z129" s="52" t="str">
        <f aca="false">IF(OR(X129="",Y129="",Y129=0),"",X129/Y129)</f>
        <v/>
      </c>
      <c r="AA129" s="50"/>
      <c r="AB129" s="50"/>
      <c r="AC129" s="44"/>
      <c r="AD129" s="44"/>
      <c r="AE129" s="44"/>
      <c r="AF129" s="44"/>
      <c r="AG129" s="44"/>
      <c r="AH129" s="44"/>
      <c r="AI129" s="44"/>
      <c r="AJ129" s="52" t="str">
        <f aca="false">IF(B129="","",SUM($Z$6:Z129))</f>
        <v/>
      </c>
      <c r="AK129" s="52" t="str">
        <f aca="false">IF(AJ129="","",MAX($AJ$6:AJ129))</f>
        <v/>
      </c>
      <c r="AL129" s="52" t="str">
        <f aca="false">IF(AJ129="","",AJ129-AK129)</f>
        <v/>
      </c>
    </row>
    <row r="130" customFormat="false" ht="15" hidden="false" customHeight="false" outlineLevel="0" collapsed="false">
      <c r="A130" s="44"/>
      <c r="B130" s="45"/>
      <c r="C130" s="44"/>
      <c r="D130" s="44"/>
      <c r="E130" s="44"/>
      <c r="F130" s="44"/>
      <c r="G130" s="44"/>
      <c r="H130" s="44"/>
      <c r="I130" s="44"/>
      <c r="J130" s="44"/>
      <c r="K130" s="44"/>
      <c r="L130" s="46"/>
      <c r="M130" s="47"/>
      <c r="N130" s="47"/>
      <c r="O130" s="47"/>
      <c r="P130" s="47"/>
      <c r="Q130" s="47"/>
      <c r="R130" s="48"/>
      <c r="S130" s="49" t="str">
        <f aca="false">IF(E130="","",IFERROR(VLOOKUP(E130,Lists!$A$5:$C$8,2,FALSE()),""))</f>
        <v/>
      </c>
      <c r="T130" s="49" t="str">
        <f aca="false">IF(E130="","",IFERROR(VLOOKUP(E130,Lists!$A$5:$C$8,3,FALSE()),""))</f>
        <v/>
      </c>
      <c r="U130" s="50"/>
      <c r="V130" s="50"/>
      <c r="W130" s="51" t="str">
        <f aca="false">IF(OR(M130="",Q130="",R130="",S130="",T130=""),"",IF(H130="Long",(Q130-M130)/S130*T130*R130,IF(H130="Short",(M130-Q130)/S130*T130*R130,"")))</f>
        <v/>
      </c>
      <c r="X130" s="51" t="str">
        <f aca="false">IF(W130="","",W130-U130-V130)</f>
        <v/>
      </c>
      <c r="Y130" s="51" t="str">
        <f aca="false">IF(OR(M130="",N130="",R130="",S130="",T130=""),"",ABS(M130-N130)/S130*T130*R130+U130+V130)</f>
        <v/>
      </c>
      <c r="Z130" s="52" t="str">
        <f aca="false">IF(OR(X130="",Y130="",Y130=0),"",X130/Y130)</f>
        <v/>
      </c>
      <c r="AA130" s="50"/>
      <c r="AB130" s="50"/>
      <c r="AC130" s="44"/>
      <c r="AD130" s="44"/>
      <c r="AE130" s="44"/>
      <c r="AF130" s="44"/>
      <c r="AG130" s="44"/>
      <c r="AH130" s="44"/>
      <c r="AI130" s="44"/>
      <c r="AJ130" s="52" t="str">
        <f aca="false">IF(B130="","",SUM($Z$6:Z130))</f>
        <v/>
      </c>
      <c r="AK130" s="52" t="str">
        <f aca="false">IF(AJ130="","",MAX($AJ$6:AJ130))</f>
        <v/>
      </c>
      <c r="AL130" s="52" t="str">
        <f aca="false">IF(AJ130="","",AJ130-AK130)</f>
        <v/>
      </c>
    </row>
    <row r="131" customFormat="false" ht="15" hidden="false" customHeight="false" outlineLevel="0" collapsed="false">
      <c r="A131" s="44"/>
      <c r="B131" s="45"/>
      <c r="C131" s="44"/>
      <c r="D131" s="44"/>
      <c r="E131" s="44"/>
      <c r="F131" s="44"/>
      <c r="G131" s="44"/>
      <c r="H131" s="44"/>
      <c r="I131" s="44"/>
      <c r="J131" s="44"/>
      <c r="K131" s="44"/>
      <c r="L131" s="46"/>
      <c r="M131" s="47"/>
      <c r="N131" s="47"/>
      <c r="O131" s="47"/>
      <c r="P131" s="47"/>
      <c r="Q131" s="47"/>
      <c r="R131" s="48"/>
      <c r="S131" s="49" t="str">
        <f aca="false">IF(E131="","",IFERROR(VLOOKUP(E131,Lists!$A$5:$C$8,2,FALSE()),""))</f>
        <v/>
      </c>
      <c r="T131" s="49" t="str">
        <f aca="false">IF(E131="","",IFERROR(VLOOKUP(E131,Lists!$A$5:$C$8,3,FALSE()),""))</f>
        <v/>
      </c>
      <c r="U131" s="50"/>
      <c r="V131" s="50"/>
      <c r="W131" s="51" t="str">
        <f aca="false">IF(OR(M131="",Q131="",R131="",S131="",T131=""),"",IF(H131="Long",(Q131-M131)/S131*T131*R131,IF(H131="Short",(M131-Q131)/S131*T131*R131,"")))</f>
        <v/>
      </c>
      <c r="X131" s="51" t="str">
        <f aca="false">IF(W131="","",W131-U131-V131)</f>
        <v/>
      </c>
      <c r="Y131" s="51" t="str">
        <f aca="false">IF(OR(M131="",N131="",R131="",S131="",T131=""),"",ABS(M131-N131)/S131*T131*R131+U131+V131)</f>
        <v/>
      </c>
      <c r="Z131" s="52" t="str">
        <f aca="false">IF(OR(X131="",Y131="",Y131=0),"",X131/Y131)</f>
        <v/>
      </c>
      <c r="AA131" s="50"/>
      <c r="AB131" s="50"/>
      <c r="AC131" s="44"/>
      <c r="AD131" s="44"/>
      <c r="AE131" s="44"/>
      <c r="AF131" s="44"/>
      <c r="AG131" s="44"/>
      <c r="AH131" s="44"/>
      <c r="AI131" s="44"/>
      <c r="AJ131" s="52" t="str">
        <f aca="false">IF(B131="","",SUM($Z$6:Z131))</f>
        <v/>
      </c>
      <c r="AK131" s="52" t="str">
        <f aca="false">IF(AJ131="","",MAX($AJ$6:AJ131))</f>
        <v/>
      </c>
      <c r="AL131" s="52" t="str">
        <f aca="false">IF(AJ131="","",AJ131-AK131)</f>
        <v/>
      </c>
    </row>
    <row r="132" customFormat="false" ht="15" hidden="false" customHeight="false" outlineLevel="0" collapsed="false">
      <c r="A132" s="44"/>
      <c r="B132" s="45"/>
      <c r="C132" s="44"/>
      <c r="D132" s="44"/>
      <c r="E132" s="44"/>
      <c r="F132" s="44"/>
      <c r="G132" s="44"/>
      <c r="H132" s="44"/>
      <c r="I132" s="44"/>
      <c r="J132" s="44"/>
      <c r="K132" s="44"/>
      <c r="L132" s="46"/>
      <c r="M132" s="47"/>
      <c r="N132" s="47"/>
      <c r="O132" s="47"/>
      <c r="P132" s="47"/>
      <c r="Q132" s="47"/>
      <c r="R132" s="48"/>
      <c r="S132" s="49" t="str">
        <f aca="false">IF(E132="","",IFERROR(VLOOKUP(E132,Lists!$A$5:$C$8,2,FALSE()),""))</f>
        <v/>
      </c>
      <c r="T132" s="49" t="str">
        <f aca="false">IF(E132="","",IFERROR(VLOOKUP(E132,Lists!$A$5:$C$8,3,FALSE()),""))</f>
        <v/>
      </c>
      <c r="U132" s="50"/>
      <c r="V132" s="50"/>
      <c r="W132" s="51" t="str">
        <f aca="false">IF(OR(M132="",Q132="",R132="",S132="",T132=""),"",IF(H132="Long",(Q132-M132)/S132*T132*R132,IF(H132="Short",(M132-Q132)/S132*T132*R132,"")))</f>
        <v/>
      </c>
      <c r="X132" s="51" t="str">
        <f aca="false">IF(W132="","",W132-U132-V132)</f>
        <v/>
      </c>
      <c r="Y132" s="51" t="str">
        <f aca="false">IF(OR(M132="",N132="",R132="",S132="",T132=""),"",ABS(M132-N132)/S132*T132*R132+U132+V132)</f>
        <v/>
      </c>
      <c r="Z132" s="52" t="str">
        <f aca="false">IF(OR(X132="",Y132="",Y132=0),"",X132/Y132)</f>
        <v/>
      </c>
      <c r="AA132" s="50"/>
      <c r="AB132" s="50"/>
      <c r="AC132" s="44"/>
      <c r="AD132" s="44"/>
      <c r="AE132" s="44"/>
      <c r="AF132" s="44"/>
      <c r="AG132" s="44"/>
      <c r="AH132" s="44"/>
      <c r="AI132" s="44"/>
      <c r="AJ132" s="52" t="str">
        <f aca="false">IF(B132="","",SUM($Z$6:Z132))</f>
        <v/>
      </c>
      <c r="AK132" s="52" t="str">
        <f aca="false">IF(AJ132="","",MAX($AJ$6:AJ132))</f>
        <v/>
      </c>
      <c r="AL132" s="52" t="str">
        <f aca="false">IF(AJ132="","",AJ132-AK132)</f>
        <v/>
      </c>
    </row>
    <row r="133" customFormat="false" ht="15" hidden="false" customHeight="false" outlineLevel="0" collapsed="false">
      <c r="A133" s="44"/>
      <c r="B133" s="45"/>
      <c r="C133" s="44"/>
      <c r="D133" s="44"/>
      <c r="E133" s="44"/>
      <c r="F133" s="44"/>
      <c r="G133" s="44"/>
      <c r="H133" s="44"/>
      <c r="I133" s="44"/>
      <c r="J133" s="44"/>
      <c r="K133" s="44"/>
      <c r="L133" s="46"/>
      <c r="M133" s="47"/>
      <c r="N133" s="47"/>
      <c r="O133" s="47"/>
      <c r="P133" s="47"/>
      <c r="Q133" s="47"/>
      <c r="R133" s="48"/>
      <c r="S133" s="49" t="str">
        <f aca="false">IF(E133="","",IFERROR(VLOOKUP(E133,Lists!$A$5:$C$8,2,FALSE()),""))</f>
        <v/>
      </c>
      <c r="T133" s="49" t="str">
        <f aca="false">IF(E133="","",IFERROR(VLOOKUP(E133,Lists!$A$5:$C$8,3,FALSE()),""))</f>
        <v/>
      </c>
      <c r="U133" s="50"/>
      <c r="V133" s="50"/>
      <c r="W133" s="51" t="str">
        <f aca="false">IF(OR(M133="",Q133="",R133="",S133="",T133=""),"",IF(H133="Long",(Q133-M133)/S133*T133*R133,IF(H133="Short",(M133-Q133)/S133*T133*R133,"")))</f>
        <v/>
      </c>
      <c r="X133" s="51" t="str">
        <f aca="false">IF(W133="","",W133-U133-V133)</f>
        <v/>
      </c>
      <c r="Y133" s="51" t="str">
        <f aca="false">IF(OR(M133="",N133="",R133="",S133="",T133=""),"",ABS(M133-N133)/S133*T133*R133+U133+V133)</f>
        <v/>
      </c>
      <c r="Z133" s="52" t="str">
        <f aca="false">IF(OR(X133="",Y133="",Y133=0),"",X133/Y133)</f>
        <v/>
      </c>
      <c r="AA133" s="50"/>
      <c r="AB133" s="50"/>
      <c r="AC133" s="44"/>
      <c r="AD133" s="44"/>
      <c r="AE133" s="44"/>
      <c r="AF133" s="44"/>
      <c r="AG133" s="44"/>
      <c r="AH133" s="44"/>
      <c r="AI133" s="44"/>
      <c r="AJ133" s="52" t="str">
        <f aca="false">IF(B133="","",SUM($Z$6:Z133))</f>
        <v/>
      </c>
      <c r="AK133" s="52" t="str">
        <f aca="false">IF(AJ133="","",MAX($AJ$6:AJ133))</f>
        <v/>
      </c>
      <c r="AL133" s="52" t="str">
        <f aca="false">IF(AJ133="","",AJ133-AK133)</f>
        <v/>
      </c>
    </row>
    <row r="134" customFormat="false" ht="15" hidden="false" customHeight="false" outlineLevel="0" collapsed="false">
      <c r="A134" s="44"/>
      <c r="B134" s="45"/>
      <c r="C134" s="44"/>
      <c r="D134" s="44"/>
      <c r="E134" s="44"/>
      <c r="F134" s="44"/>
      <c r="G134" s="44"/>
      <c r="H134" s="44"/>
      <c r="I134" s="44"/>
      <c r="J134" s="44"/>
      <c r="K134" s="44"/>
      <c r="L134" s="46"/>
      <c r="M134" s="47"/>
      <c r="N134" s="47"/>
      <c r="O134" s="47"/>
      <c r="P134" s="47"/>
      <c r="Q134" s="47"/>
      <c r="R134" s="48"/>
      <c r="S134" s="49" t="str">
        <f aca="false">IF(E134="","",IFERROR(VLOOKUP(E134,Lists!$A$5:$C$8,2,FALSE()),""))</f>
        <v/>
      </c>
      <c r="T134" s="49" t="str">
        <f aca="false">IF(E134="","",IFERROR(VLOOKUP(E134,Lists!$A$5:$C$8,3,FALSE()),""))</f>
        <v/>
      </c>
      <c r="U134" s="50"/>
      <c r="V134" s="50"/>
      <c r="W134" s="51" t="str">
        <f aca="false">IF(OR(M134="",Q134="",R134="",S134="",T134=""),"",IF(H134="Long",(Q134-M134)/S134*T134*R134,IF(H134="Short",(M134-Q134)/S134*T134*R134,"")))</f>
        <v/>
      </c>
      <c r="X134" s="51" t="str">
        <f aca="false">IF(W134="","",W134-U134-V134)</f>
        <v/>
      </c>
      <c r="Y134" s="51" t="str">
        <f aca="false">IF(OR(M134="",N134="",R134="",S134="",T134=""),"",ABS(M134-N134)/S134*T134*R134+U134+V134)</f>
        <v/>
      </c>
      <c r="Z134" s="52" t="str">
        <f aca="false">IF(OR(X134="",Y134="",Y134=0),"",X134/Y134)</f>
        <v/>
      </c>
      <c r="AA134" s="50"/>
      <c r="AB134" s="50"/>
      <c r="AC134" s="44"/>
      <c r="AD134" s="44"/>
      <c r="AE134" s="44"/>
      <c r="AF134" s="44"/>
      <c r="AG134" s="44"/>
      <c r="AH134" s="44"/>
      <c r="AI134" s="44"/>
      <c r="AJ134" s="52" t="str">
        <f aca="false">IF(B134="","",SUM($Z$6:Z134))</f>
        <v/>
      </c>
      <c r="AK134" s="52" t="str">
        <f aca="false">IF(AJ134="","",MAX($AJ$6:AJ134))</f>
        <v/>
      </c>
      <c r="AL134" s="52" t="str">
        <f aca="false">IF(AJ134="","",AJ134-AK134)</f>
        <v/>
      </c>
    </row>
    <row r="135" customFormat="false" ht="15" hidden="false" customHeight="false" outlineLevel="0" collapsed="false">
      <c r="A135" s="44"/>
      <c r="B135" s="45"/>
      <c r="C135" s="44"/>
      <c r="D135" s="44"/>
      <c r="E135" s="44"/>
      <c r="F135" s="44"/>
      <c r="G135" s="44"/>
      <c r="H135" s="44"/>
      <c r="I135" s="44"/>
      <c r="J135" s="44"/>
      <c r="K135" s="44"/>
      <c r="L135" s="46"/>
      <c r="M135" s="47"/>
      <c r="N135" s="47"/>
      <c r="O135" s="47"/>
      <c r="P135" s="47"/>
      <c r="Q135" s="47"/>
      <c r="R135" s="48"/>
      <c r="S135" s="49" t="str">
        <f aca="false">IF(E135="","",IFERROR(VLOOKUP(E135,Lists!$A$5:$C$8,2,FALSE()),""))</f>
        <v/>
      </c>
      <c r="T135" s="49" t="str">
        <f aca="false">IF(E135="","",IFERROR(VLOOKUP(E135,Lists!$A$5:$C$8,3,FALSE()),""))</f>
        <v/>
      </c>
      <c r="U135" s="50"/>
      <c r="V135" s="50"/>
      <c r="W135" s="51" t="str">
        <f aca="false">IF(OR(M135="",Q135="",R135="",S135="",T135=""),"",IF(H135="Long",(Q135-M135)/S135*T135*R135,IF(H135="Short",(M135-Q135)/S135*T135*R135,"")))</f>
        <v/>
      </c>
      <c r="X135" s="51" t="str">
        <f aca="false">IF(W135="","",W135-U135-V135)</f>
        <v/>
      </c>
      <c r="Y135" s="51" t="str">
        <f aca="false">IF(OR(M135="",N135="",R135="",S135="",T135=""),"",ABS(M135-N135)/S135*T135*R135+U135+V135)</f>
        <v/>
      </c>
      <c r="Z135" s="52" t="str">
        <f aca="false">IF(OR(X135="",Y135="",Y135=0),"",X135/Y135)</f>
        <v/>
      </c>
      <c r="AA135" s="50"/>
      <c r="AB135" s="50"/>
      <c r="AC135" s="44"/>
      <c r="AD135" s="44"/>
      <c r="AE135" s="44"/>
      <c r="AF135" s="44"/>
      <c r="AG135" s="44"/>
      <c r="AH135" s="44"/>
      <c r="AI135" s="44"/>
      <c r="AJ135" s="52" t="str">
        <f aca="false">IF(B135="","",SUM($Z$6:Z135))</f>
        <v/>
      </c>
      <c r="AK135" s="52" t="str">
        <f aca="false">IF(AJ135="","",MAX($AJ$6:AJ135))</f>
        <v/>
      </c>
      <c r="AL135" s="52" t="str">
        <f aca="false">IF(AJ135="","",AJ135-AK135)</f>
        <v/>
      </c>
    </row>
    <row r="136" customFormat="false" ht="15" hidden="false" customHeight="false" outlineLevel="0" collapsed="false">
      <c r="A136" s="44"/>
      <c r="B136" s="45"/>
      <c r="C136" s="44"/>
      <c r="D136" s="44"/>
      <c r="E136" s="44"/>
      <c r="F136" s="44"/>
      <c r="G136" s="44"/>
      <c r="H136" s="44"/>
      <c r="I136" s="44"/>
      <c r="J136" s="44"/>
      <c r="K136" s="44"/>
      <c r="L136" s="46"/>
      <c r="M136" s="47"/>
      <c r="N136" s="47"/>
      <c r="O136" s="47"/>
      <c r="P136" s="47"/>
      <c r="Q136" s="47"/>
      <c r="R136" s="48"/>
      <c r="S136" s="49" t="str">
        <f aca="false">IF(E136="","",IFERROR(VLOOKUP(E136,Lists!$A$5:$C$8,2,FALSE()),""))</f>
        <v/>
      </c>
      <c r="T136" s="49" t="str">
        <f aca="false">IF(E136="","",IFERROR(VLOOKUP(E136,Lists!$A$5:$C$8,3,FALSE()),""))</f>
        <v/>
      </c>
      <c r="U136" s="50"/>
      <c r="V136" s="50"/>
      <c r="W136" s="51" t="str">
        <f aca="false">IF(OR(M136="",Q136="",R136="",S136="",T136=""),"",IF(H136="Long",(Q136-M136)/S136*T136*R136,IF(H136="Short",(M136-Q136)/S136*T136*R136,"")))</f>
        <v/>
      </c>
      <c r="X136" s="51" t="str">
        <f aca="false">IF(W136="","",W136-U136-V136)</f>
        <v/>
      </c>
      <c r="Y136" s="51" t="str">
        <f aca="false">IF(OR(M136="",N136="",R136="",S136="",T136=""),"",ABS(M136-N136)/S136*T136*R136+U136+V136)</f>
        <v/>
      </c>
      <c r="Z136" s="52" t="str">
        <f aca="false">IF(OR(X136="",Y136="",Y136=0),"",X136/Y136)</f>
        <v/>
      </c>
      <c r="AA136" s="50"/>
      <c r="AB136" s="50"/>
      <c r="AC136" s="44"/>
      <c r="AD136" s="44"/>
      <c r="AE136" s="44"/>
      <c r="AF136" s="44"/>
      <c r="AG136" s="44"/>
      <c r="AH136" s="44"/>
      <c r="AI136" s="44"/>
      <c r="AJ136" s="52" t="str">
        <f aca="false">IF(B136="","",SUM($Z$6:Z136))</f>
        <v/>
      </c>
      <c r="AK136" s="52" t="str">
        <f aca="false">IF(AJ136="","",MAX($AJ$6:AJ136))</f>
        <v/>
      </c>
      <c r="AL136" s="52" t="str">
        <f aca="false">IF(AJ136="","",AJ136-AK136)</f>
        <v/>
      </c>
    </row>
    <row r="137" customFormat="false" ht="15" hidden="false" customHeight="false" outlineLevel="0" collapsed="false">
      <c r="A137" s="44"/>
      <c r="B137" s="45"/>
      <c r="C137" s="44"/>
      <c r="D137" s="44"/>
      <c r="E137" s="44"/>
      <c r="F137" s="44"/>
      <c r="G137" s="44"/>
      <c r="H137" s="44"/>
      <c r="I137" s="44"/>
      <c r="J137" s="44"/>
      <c r="K137" s="44"/>
      <c r="L137" s="46"/>
      <c r="M137" s="47"/>
      <c r="N137" s="47"/>
      <c r="O137" s="47"/>
      <c r="P137" s="47"/>
      <c r="Q137" s="47"/>
      <c r="R137" s="48"/>
      <c r="S137" s="49" t="str">
        <f aca="false">IF(E137="","",IFERROR(VLOOKUP(E137,Lists!$A$5:$C$8,2,FALSE()),""))</f>
        <v/>
      </c>
      <c r="T137" s="49" t="str">
        <f aca="false">IF(E137="","",IFERROR(VLOOKUP(E137,Lists!$A$5:$C$8,3,FALSE()),""))</f>
        <v/>
      </c>
      <c r="U137" s="50"/>
      <c r="V137" s="50"/>
      <c r="W137" s="51" t="str">
        <f aca="false">IF(OR(M137="",Q137="",R137="",S137="",T137=""),"",IF(H137="Long",(Q137-M137)/S137*T137*R137,IF(H137="Short",(M137-Q137)/S137*T137*R137,"")))</f>
        <v/>
      </c>
      <c r="X137" s="51" t="str">
        <f aca="false">IF(W137="","",W137-U137-V137)</f>
        <v/>
      </c>
      <c r="Y137" s="51" t="str">
        <f aca="false">IF(OR(M137="",N137="",R137="",S137="",T137=""),"",ABS(M137-N137)/S137*T137*R137+U137+V137)</f>
        <v/>
      </c>
      <c r="Z137" s="52" t="str">
        <f aca="false">IF(OR(X137="",Y137="",Y137=0),"",X137/Y137)</f>
        <v/>
      </c>
      <c r="AA137" s="50"/>
      <c r="AB137" s="50"/>
      <c r="AC137" s="44"/>
      <c r="AD137" s="44"/>
      <c r="AE137" s="44"/>
      <c r="AF137" s="44"/>
      <c r="AG137" s="44"/>
      <c r="AH137" s="44"/>
      <c r="AI137" s="44"/>
      <c r="AJ137" s="52" t="str">
        <f aca="false">IF(B137="","",SUM($Z$6:Z137))</f>
        <v/>
      </c>
      <c r="AK137" s="52" t="str">
        <f aca="false">IF(AJ137="","",MAX($AJ$6:AJ137))</f>
        <v/>
      </c>
      <c r="AL137" s="52" t="str">
        <f aca="false">IF(AJ137="","",AJ137-AK137)</f>
        <v/>
      </c>
    </row>
    <row r="138" customFormat="false" ht="15" hidden="false" customHeight="false" outlineLevel="0" collapsed="false">
      <c r="A138" s="44"/>
      <c r="B138" s="45"/>
      <c r="C138" s="44"/>
      <c r="D138" s="44"/>
      <c r="E138" s="44"/>
      <c r="F138" s="44"/>
      <c r="G138" s="44"/>
      <c r="H138" s="44"/>
      <c r="I138" s="44"/>
      <c r="J138" s="44"/>
      <c r="K138" s="44"/>
      <c r="L138" s="46"/>
      <c r="M138" s="47"/>
      <c r="N138" s="47"/>
      <c r="O138" s="47"/>
      <c r="P138" s="47"/>
      <c r="Q138" s="47"/>
      <c r="R138" s="48"/>
      <c r="S138" s="49" t="str">
        <f aca="false">IF(E138="","",IFERROR(VLOOKUP(E138,Lists!$A$5:$C$8,2,FALSE()),""))</f>
        <v/>
      </c>
      <c r="T138" s="49" t="str">
        <f aca="false">IF(E138="","",IFERROR(VLOOKUP(E138,Lists!$A$5:$C$8,3,FALSE()),""))</f>
        <v/>
      </c>
      <c r="U138" s="50"/>
      <c r="V138" s="50"/>
      <c r="W138" s="51" t="str">
        <f aca="false">IF(OR(M138="",Q138="",R138="",S138="",T138=""),"",IF(H138="Long",(Q138-M138)/S138*T138*R138,IF(H138="Short",(M138-Q138)/S138*T138*R138,"")))</f>
        <v/>
      </c>
      <c r="X138" s="51" t="str">
        <f aca="false">IF(W138="","",W138-U138-V138)</f>
        <v/>
      </c>
      <c r="Y138" s="51" t="str">
        <f aca="false">IF(OR(M138="",N138="",R138="",S138="",T138=""),"",ABS(M138-N138)/S138*T138*R138+U138+V138)</f>
        <v/>
      </c>
      <c r="Z138" s="52" t="str">
        <f aca="false">IF(OR(X138="",Y138="",Y138=0),"",X138/Y138)</f>
        <v/>
      </c>
      <c r="AA138" s="50"/>
      <c r="AB138" s="50"/>
      <c r="AC138" s="44"/>
      <c r="AD138" s="44"/>
      <c r="AE138" s="44"/>
      <c r="AF138" s="44"/>
      <c r="AG138" s="44"/>
      <c r="AH138" s="44"/>
      <c r="AI138" s="44"/>
      <c r="AJ138" s="52" t="str">
        <f aca="false">IF(B138="","",SUM($Z$6:Z138))</f>
        <v/>
      </c>
      <c r="AK138" s="52" t="str">
        <f aca="false">IF(AJ138="","",MAX($AJ$6:AJ138))</f>
        <v/>
      </c>
      <c r="AL138" s="52" t="str">
        <f aca="false">IF(AJ138="","",AJ138-AK138)</f>
        <v/>
      </c>
    </row>
    <row r="139" customFormat="false" ht="15" hidden="false" customHeight="false" outlineLevel="0" collapsed="false">
      <c r="A139" s="44"/>
      <c r="B139" s="45"/>
      <c r="C139" s="44"/>
      <c r="D139" s="44"/>
      <c r="E139" s="44"/>
      <c r="F139" s="44"/>
      <c r="G139" s="44"/>
      <c r="H139" s="44"/>
      <c r="I139" s="44"/>
      <c r="J139" s="44"/>
      <c r="K139" s="44"/>
      <c r="L139" s="46"/>
      <c r="M139" s="47"/>
      <c r="N139" s="47"/>
      <c r="O139" s="47"/>
      <c r="P139" s="47"/>
      <c r="Q139" s="47"/>
      <c r="R139" s="48"/>
      <c r="S139" s="49" t="str">
        <f aca="false">IF(E139="","",IFERROR(VLOOKUP(E139,Lists!$A$5:$C$8,2,FALSE()),""))</f>
        <v/>
      </c>
      <c r="T139" s="49" t="str">
        <f aca="false">IF(E139="","",IFERROR(VLOOKUP(E139,Lists!$A$5:$C$8,3,FALSE()),""))</f>
        <v/>
      </c>
      <c r="U139" s="50"/>
      <c r="V139" s="50"/>
      <c r="W139" s="51" t="str">
        <f aca="false">IF(OR(M139="",Q139="",R139="",S139="",T139=""),"",IF(H139="Long",(Q139-M139)/S139*T139*R139,IF(H139="Short",(M139-Q139)/S139*T139*R139,"")))</f>
        <v/>
      </c>
      <c r="X139" s="51" t="str">
        <f aca="false">IF(W139="","",W139-U139-V139)</f>
        <v/>
      </c>
      <c r="Y139" s="51" t="str">
        <f aca="false">IF(OR(M139="",N139="",R139="",S139="",T139=""),"",ABS(M139-N139)/S139*T139*R139+U139+V139)</f>
        <v/>
      </c>
      <c r="Z139" s="52" t="str">
        <f aca="false">IF(OR(X139="",Y139="",Y139=0),"",X139/Y139)</f>
        <v/>
      </c>
      <c r="AA139" s="50"/>
      <c r="AB139" s="50"/>
      <c r="AC139" s="44"/>
      <c r="AD139" s="44"/>
      <c r="AE139" s="44"/>
      <c r="AF139" s="44"/>
      <c r="AG139" s="44"/>
      <c r="AH139" s="44"/>
      <c r="AI139" s="44"/>
      <c r="AJ139" s="52" t="str">
        <f aca="false">IF(B139="","",SUM($Z$6:Z139))</f>
        <v/>
      </c>
      <c r="AK139" s="52" t="str">
        <f aca="false">IF(AJ139="","",MAX($AJ$6:AJ139))</f>
        <v/>
      </c>
      <c r="AL139" s="52" t="str">
        <f aca="false">IF(AJ139="","",AJ139-AK139)</f>
        <v/>
      </c>
    </row>
    <row r="140" customFormat="false" ht="15" hidden="false" customHeight="false" outlineLevel="0" collapsed="false">
      <c r="A140" s="44"/>
      <c r="B140" s="45"/>
      <c r="C140" s="44"/>
      <c r="D140" s="44"/>
      <c r="E140" s="44"/>
      <c r="F140" s="44"/>
      <c r="G140" s="44"/>
      <c r="H140" s="44"/>
      <c r="I140" s="44"/>
      <c r="J140" s="44"/>
      <c r="K140" s="44"/>
      <c r="L140" s="46"/>
      <c r="M140" s="47"/>
      <c r="N140" s="47"/>
      <c r="O140" s="47"/>
      <c r="P140" s="47"/>
      <c r="Q140" s="47"/>
      <c r="R140" s="48"/>
      <c r="S140" s="49" t="str">
        <f aca="false">IF(E140="","",IFERROR(VLOOKUP(E140,Lists!$A$5:$C$8,2,FALSE()),""))</f>
        <v/>
      </c>
      <c r="T140" s="49" t="str">
        <f aca="false">IF(E140="","",IFERROR(VLOOKUP(E140,Lists!$A$5:$C$8,3,FALSE()),""))</f>
        <v/>
      </c>
      <c r="U140" s="50"/>
      <c r="V140" s="50"/>
      <c r="W140" s="51" t="str">
        <f aca="false">IF(OR(M140="",Q140="",R140="",S140="",T140=""),"",IF(H140="Long",(Q140-M140)/S140*T140*R140,IF(H140="Short",(M140-Q140)/S140*T140*R140,"")))</f>
        <v/>
      </c>
      <c r="X140" s="51" t="str">
        <f aca="false">IF(W140="","",W140-U140-V140)</f>
        <v/>
      </c>
      <c r="Y140" s="51" t="str">
        <f aca="false">IF(OR(M140="",N140="",R140="",S140="",T140=""),"",ABS(M140-N140)/S140*T140*R140+U140+V140)</f>
        <v/>
      </c>
      <c r="Z140" s="52" t="str">
        <f aca="false">IF(OR(X140="",Y140="",Y140=0),"",X140/Y140)</f>
        <v/>
      </c>
      <c r="AA140" s="50"/>
      <c r="AB140" s="50"/>
      <c r="AC140" s="44"/>
      <c r="AD140" s="44"/>
      <c r="AE140" s="44"/>
      <c r="AF140" s="44"/>
      <c r="AG140" s="44"/>
      <c r="AH140" s="44"/>
      <c r="AI140" s="44"/>
      <c r="AJ140" s="52" t="str">
        <f aca="false">IF(B140="","",SUM($Z$6:Z140))</f>
        <v/>
      </c>
      <c r="AK140" s="52" t="str">
        <f aca="false">IF(AJ140="","",MAX($AJ$6:AJ140))</f>
        <v/>
      </c>
      <c r="AL140" s="52" t="str">
        <f aca="false">IF(AJ140="","",AJ140-AK140)</f>
        <v/>
      </c>
    </row>
    <row r="141" customFormat="false" ht="15" hidden="false" customHeight="false" outlineLevel="0" collapsed="false">
      <c r="A141" s="44"/>
      <c r="B141" s="45"/>
      <c r="C141" s="44"/>
      <c r="D141" s="44"/>
      <c r="E141" s="44"/>
      <c r="F141" s="44"/>
      <c r="G141" s="44"/>
      <c r="H141" s="44"/>
      <c r="I141" s="44"/>
      <c r="J141" s="44"/>
      <c r="K141" s="44"/>
      <c r="L141" s="46"/>
      <c r="M141" s="47"/>
      <c r="N141" s="47"/>
      <c r="O141" s="47"/>
      <c r="P141" s="47"/>
      <c r="Q141" s="47"/>
      <c r="R141" s="48"/>
      <c r="S141" s="49" t="str">
        <f aca="false">IF(E141="","",IFERROR(VLOOKUP(E141,Lists!$A$5:$C$8,2,FALSE()),""))</f>
        <v/>
      </c>
      <c r="T141" s="49" t="str">
        <f aca="false">IF(E141="","",IFERROR(VLOOKUP(E141,Lists!$A$5:$C$8,3,FALSE()),""))</f>
        <v/>
      </c>
      <c r="U141" s="50"/>
      <c r="V141" s="50"/>
      <c r="W141" s="51" t="str">
        <f aca="false">IF(OR(M141="",Q141="",R141="",S141="",T141=""),"",IF(H141="Long",(Q141-M141)/S141*T141*R141,IF(H141="Short",(M141-Q141)/S141*T141*R141,"")))</f>
        <v/>
      </c>
      <c r="X141" s="51" t="str">
        <f aca="false">IF(W141="","",W141-U141-V141)</f>
        <v/>
      </c>
      <c r="Y141" s="51" t="str">
        <f aca="false">IF(OR(M141="",N141="",R141="",S141="",T141=""),"",ABS(M141-N141)/S141*T141*R141+U141+V141)</f>
        <v/>
      </c>
      <c r="Z141" s="52" t="str">
        <f aca="false">IF(OR(X141="",Y141="",Y141=0),"",X141/Y141)</f>
        <v/>
      </c>
      <c r="AA141" s="50"/>
      <c r="AB141" s="50"/>
      <c r="AC141" s="44"/>
      <c r="AD141" s="44"/>
      <c r="AE141" s="44"/>
      <c r="AF141" s="44"/>
      <c r="AG141" s="44"/>
      <c r="AH141" s="44"/>
      <c r="AI141" s="44"/>
      <c r="AJ141" s="52" t="str">
        <f aca="false">IF(B141="","",SUM($Z$6:Z141))</f>
        <v/>
      </c>
      <c r="AK141" s="52" t="str">
        <f aca="false">IF(AJ141="","",MAX($AJ$6:AJ141))</f>
        <v/>
      </c>
      <c r="AL141" s="52" t="str">
        <f aca="false">IF(AJ141="","",AJ141-AK141)</f>
        <v/>
      </c>
    </row>
    <row r="142" customFormat="false" ht="15" hidden="false" customHeight="false" outlineLevel="0" collapsed="false">
      <c r="A142" s="44"/>
      <c r="B142" s="45"/>
      <c r="C142" s="44"/>
      <c r="D142" s="44"/>
      <c r="E142" s="44"/>
      <c r="F142" s="44"/>
      <c r="G142" s="44"/>
      <c r="H142" s="44"/>
      <c r="I142" s="44"/>
      <c r="J142" s="44"/>
      <c r="K142" s="44"/>
      <c r="L142" s="46"/>
      <c r="M142" s="47"/>
      <c r="N142" s="47"/>
      <c r="O142" s="47"/>
      <c r="P142" s="47"/>
      <c r="Q142" s="47"/>
      <c r="R142" s="48"/>
      <c r="S142" s="49" t="str">
        <f aca="false">IF(E142="","",IFERROR(VLOOKUP(E142,Lists!$A$5:$C$8,2,FALSE()),""))</f>
        <v/>
      </c>
      <c r="T142" s="49" t="str">
        <f aca="false">IF(E142="","",IFERROR(VLOOKUP(E142,Lists!$A$5:$C$8,3,FALSE()),""))</f>
        <v/>
      </c>
      <c r="U142" s="50"/>
      <c r="V142" s="50"/>
      <c r="W142" s="51" t="str">
        <f aca="false">IF(OR(M142="",Q142="",R142="",S142="",T142=""),"",IF(H142="Long",(Q142-M142)/S142*T142*R142,IF(H142="Short",(M142-Q142)/S142*T142*R142,"")))</f>
        <v/>
      </c>
      <c r="X142" s="51" t="str">
        <f aca="false">IF(W142="","",W142-U142-V142)</f>
        <v/>
      </c>
      <c r="Y142" s="51" t="str">
        <f aca="false">IF(OR(M142="",N142="",R142="",S142="",T142=""),"",ABS(M142-N142)/S142*T142*R142+U142+V142)</f>
        <v/>
      </c>
      <c r="Z142" s="52" t="str">
        <f aca="false">IF(OR(X142="",Y142="",Y142=0),"",X142/Y142)</f>
        <v/>
      </c>
      <c r="AA142" s="50"/>
      <c r="AB142" s="50"/>
      <c r="AC142" s="44"/>
      <c r="AD142" s="44"/>
      <c r="AE142" s="44"/>
      <c r="AF142" s="44"/>
      <c r="AG142" s="44"/>
      <c r="AH142" s="44"/>
      <c r="AI142" s="44"/>
      <c r="AJ142" s="52" t="str">
        <f aca="false">IF(B142="","",SUM($Z$6:Z142))</f>
        <v/>
      </c>
      <c r="AK142" s="52" t="str">
        <f aca="false">IF(AJ142="","",MAX($AJ$6:AJ142))</f>
        <v/>
      </c>
      <c r="AL142" s="52" t="str">
        <f aca="false">IF(AJ142="","",AJ142-AK142)</f>
        <v/>
      </c>
    </row>
    <row r="143" customFormat="false" ht="15" hidden="false" customHeight="false" outlineLevel="0" collapsed="false">
      <c r="A143" s="44"/>
      <c r="B143" s="45"/>
      <c r="C143" s="44"/>
      <c r="D143" s="44"/>
      <c r="E143" s="44"/>
      <c r="F143" s="44"/>
      <c r="G143" s="44"/>
      <c r="H143" s="44"/>
      <c r="I143" s="44"/>
      <c r="J143" s="44"/>
      <c r="K143" s="44"/>
      <c r="L143" s="46"/>
      <c r="M143" s="47"/>
      <c r="N143" s="47"/>
      <c r="O143" s="47"/>
      <c r="P143" s="47"/>
      <c r="Q143" s="47"/>
      <c r="R143" s="48"/>
      <c r="S143" s="49" t="str">
        <f aca="false">IF(E143="","",IFERROR(VLOOKUP(E143,Lists!$A$5:$C$8,2,FALSE()),""))</f>
        <v/>
      </c>
      <c r="T143" s="49" t="str">
        <f aca="false">IF(E143="","",IFERROR(VLOOKUP(E143,Lists!$A$5:$C$8,3,FALSE()),""))</f>
        <v/>
      </c>
      <c r="U143" s="50"/>
      <c r="V143" s="50"/>
      <c r="W143" s="51" t="str">
        <f aca="false">IF(OR(M143="",Q143="",R143="",S143="",T143=""),"",IF(H143="Long",(Q143-M143)/S143*T143*R143,IF(H143="Short",(M143-Q143)/S143*T143*R143,"")))</f>
        <v/>
      </c>
      <c r="X143" s="51" t="str">
        <f aca="false">IF(W143="","",W143-U143-V143)</f>
        <v/>
      </c>
      <c r="Y143" s="51" t="str">
        <f aca="false">IF(OR(M143="",N143="",R143="",S143="",T143=""),"",ABS(M143-N143)/S143*T143*R143+U143+V143)</f>
        <v/>
      </c>
      <c r="Z143" s="52" t="str">
        <f aca="false">IF(OR(X143="",Y143="",Y143=0),"",X143/Y143)</f>
        <v/>
      </c>
      <c r="AA143" s="50"/>
      <c r="AB143" s="50"/>
      <c r="AC143" s="44"/>
      <c r="AD143" s="44"/>
      <c r="AE143" s="44"/>
      <c r="AF143" s="44"/>
      <c r="AG143" s="44"/>
      <c r="AH143" s="44"/>
      <c r="AI143" s="44"/>
      <c r="AJ143" s="52" t="str">
        <f aca="false">IF(B143="","",SUM($Z$6:Z143))</f>
        <v/>
      </c>
      <c r="AK143" s="52" t="str">
        <f aca="false">IF(AJ143="","",MAX($AJ$6:AJ143))</f>
        <v/>
      </c>
      <c r="AL143" s="52" t="str">
        <f aca="false">IF(AJ143="","",AJ143-AK143)</f>
        <v/>
      </c>
    </row>
    <row r="144" customFormat="false" ht="15" hidden="false" customHeight="false" outlineLevel="0" collapsed="false">
      <c r="A144" s="44"/>
      <c r="B144" s="45"/>
      <c r="C144" s="44"/>
      <c r="D144" s="44"/>
      <c r="E144" s="44"/>
      <c r="F144" s="44"/>
      <c r="G144" s="44"/>
      <c r="H144" s="44"/>
      <c r="I144" s="44"/>
      <c r="J144" s="44"/>
      <c r="K144" s="44"/>
      <c r="L144" s="46"/>
      <c r="M144" s="47"/>
      <c r="N144" s="47"/>
      <c r="O144" s="47"/>
      <c r="P144" s="47"/>
      <c r="Q144" s="47"/>
      <c r="R144" s="48"/>
      <c r="S144" s="49" t="str">
        <f aca="false">IF(E144="","",IFERROR(VLOOKUP(E144,Lists!$A$5:$C$8,2,FALSE()),""))</f>
        <v/>
      </c>
      <c r="T144" s="49" t="str">
        <f aca="false">IF(E144="","",IFERROR(VLOOKUP(E144,Lists!$A$5:$C$8,3,FALSE()),""))</f>
        <v/>
      </c>
      <c r="U144" s="50"/>
      <c r="V144" s="50"/>
      <c r="W144" s="51" t="str">
        <f aca="false">IF(OR(M144="",Q144="",R144="",S144="",T144=""),"",IF(H144="Long",(Q144-M144)/S144*T144*R144,IF(H144="Short",(M144-Q144)/S144*T144*R144,"")))</f>
        <v/>
      </c>
      <c r="X144" s="51" t="str">
        <f aca="false">IF(W144="","",W144-U144-V144)</f>
        <v/>
      </c>
      <c r="Y144" s="51" t="str">
        <f aca="false">IF(OR(M144="",N144="",R144="",S144="",T144=""),"",ABS(M144-N144)/S144*T144*R144+U144+V144)</f>
        <v/>
      </c>
      <c r="Z144" s="52" t="str">
        <f aca="false">IF(OR(X144="",Y144="",Y144=0),"",X144/Y144)</f>
        <v/>
      </c>
      <c r="AA144" s="50"/>
      <c r="AB144" s="50"/>
      <c r="AC144" s="44"/>
      <c r="AD144" s="44"/>
      <c r="AE144" s="44"/>
      <c r="AF144" s="44"/>
      <c r="AG144" s="44"/>
      <c r="AH144" s="44"/>
      <c r="AI144" s="44"/>
      <c r="AJ144" s="52" t="str">
        <f aca="false">IF(B144="","",SUM($Z$6:Z144))</f>
        <v/>
      </c>
      <c r="AK144" s="52" t="str">
        <f aca="false">IF(AJ144="","",MAX($AJ$6:AJ144))</f>
        <v/>
      </c>
      <c r="AL144" s="52" t="str">
        <f aca="false">IF(AJ144="","",AJ144-AK144)</f>
        <v/>
      </c>
    </row>
    <row r="145" customFormat="false" ht="15" hidden="false" customHeight="false" outlineLevel="0" collapsed="false">
      <c r="A145" s="44"/>
      <c r="B145" s="45"/>
      <c r="C145" s="44"/>
      <c r="D145" s="44"/>
      <c r="E145" s="44"/>
      <c r="F145" s="44"/>
      <c r="G145" s="44"/>
      <c r="H145" s="44"/>
      <c r="I145" s="44"/>
      <c r="J145" s="44"/>
      <c r="K145" s="44"/>
      <c r="L145" s="46"/>
      <c r="M145" s="47"/>
      <c r="N145" s="47"/>
      <c r="O145" s="47"/>
      <c r="P145" s="47"/>
      <c r="Q145" s="47"/>
      <c r="R145" s="48"/>
      <c r="S145" s="49" t="str">
        <f aca="false">IF(E145="","",IFERROR(VLOOKUP(E145,Lists!$A$5:$C$8,2,FALSE()),""))</f>
        <v/>
      </c>
      <c r="T145" s="49" t="str">
        <f aca="false">IF(E145="","",IFERROR(VLOOKUP(E145,Lists!$A$5:$C$8,3,FALSE()),""))</f>
        <v/>
      </c>
      <c r="U145" s="50"/>
      <c r="V145" s="50"/>
      <c r="W145" s="51" t="str">
        <f aca="false">IF(OR(M145="",Q145="",R145="",S145="",T145=""),"",IF(H145="Long",(Q145-M145)/S145*T145*R145,IF(H145="Short",(M145-Q145)/S145*T145*R145,"")))</f>
        <v/>
      </c>
      <c r="X145" s="51" t="str">
        <f aca="false">IF(W145="","",W145-U145-V145)</f>
        <v/>
      </c>
      <c r="Y145" s="51" t="str">
        <f aca="false">IF(OR(M145="",N145="",R145="",S145="",T145=""),"",ABS(M145-N145)/S145*T145*R145+U145+V145)</f>
        <v/>
      </c>
      <c r="Z145" s="52" t="str">
        <f aca="false">IF(OR(X145="",Y145="",Y145=0),"",X145/Y145)</f>
        <v/>
      </c>
      <c r="AA145" s="50"/>
      <c r="AB145" s="50"/>
      <c r="AC145" s="44"/>
      <c r="AD145" s="44"/>
      <c r="AE145" s="44"/>
      <c r="AF145" s="44"/>
      <c r="AG145" s="44"/>
      <c r="AH145" s="44"/>
      <c r="AI145" s="44"/>
      <c r="AJ145" s="52" t="str">
        <f aca="false">IF(B145="","",SUM($Z$6:Z145))</f>
        <v/>
      </c>
      <c r="AK145" s="52" t="str">
        <f aca="false">IF(AJ145="","",MAX($AJ$6:AJ145))</f>
        <v/>
      </c>
      <c r="AL145" s="52" t="str">
        <f aca="false">IF(AJ145="","",AJ145-AK145)</f>
        <v/>
      </c>
    </row>
    <row r="146" customFormat="false" ht="15" hidden="false" customHeight="false" outlineLevel="0" collapsed="false">
      <c r="A146" s="44"/>
      <c r="B146" s="45"/>
      <c r="C146" s="44"/>
      <c r="D146" s="44"/>
      <c r="E146" s="44"/>
      <c r="F146" s="44"/>
      <c r="G146" s="44"/>
      <c r="H146" s="44"/>
      <c r="I146" s="44"/>
      <c r="J146" s="44"/>
      <c r="K146" s="44"/>
      <c r="L146" s="46"/>
      <c r="M146" s="47"/>
      <c r="N146" s="47"/>
      <c r="O146" s="47"/>
      <c r="P146" s="47"/>
      <c r="Q146" s="47"/>
      <c r="R146" s="48"/>
      <c r="S146" s="49" t="str">
        <f aca="false">IF(E146="","",IFERROR(VLOOKUP(E146,Lists!$A$5:$C$8,2,FALSE()),""))</f>
        <v/>
      </c>
      <c r="T146" s="49" t="str">
        <f aca="false">IF(E146="","",IFERROR(VLOOKUP(E146,Lists!$A$5:$C$8,3,FALSE()),""))</f>
        <v/>
      </c>
      <c r="U146" s="50"/>
      <c r="V146" s="50"/>
      <c r="W146" s="51" t="str">
        <f aca="false">IF(OR(M146="",Q146="",R146="",S146="",T146=""),"",IF(H146="Long",(Q146-M146)/S146*T146*R146,IF(H146="Short",(M146-Q146)/S146*T146*R146,"")))</f>
        <v/>
      </c>
      <c r="X146" s="51" t="str">
        <f aca="false">IF(W146="","",W146-U146-V146)</f>
        <v/>
      </c>
      <c r="Y146" s="51" t="str">
        <f aca="false">IF(OR(M146="",N146="",R146="",S146="",T146=""),"",ABS(M146-N146)/S146*T146*R146+U146+V146)</f>
        <v/>
      </c>
      <c r="Z146" s="52" t="str">
        <f aca="false">IF(OR(X146="",Y146="",Y146=0),"",X146/Y146)</f>
        <v/>
      </c>
      <c r="AA146" s="50"/>
      <c r="AB146" s="50"/>
      <c r="AC146" s="44"/>
      <c r="AD146" s="44"/>
      <c r="AE146" s="44"/>
      <c r="AF146" s="44"/>
      <c r="AG146" s="44"/>
      <c r="AH146" s="44"/>
      <c r="AI146" s="44"/>
      <c r="AJ146" s="52" t="str">
        <f aca="false">IF(B146="","",SUM($Z$6:Z146))</f>
        <v/>
      </c>
      <c r="AK146" s="52" t="str">
        <f aca="false">IF(AJ146="","",MAX($AJ$6:AJ146))</f>
        <v/>
      </c>
      <c r="AL146" s="52" t="str">
        <f aca="false">IF(AJ146="","",AJ146-AK146)</f>
        <v/>
      </c>
    </row>
    <row r="147" customFormat="false" ht="15" hidden="false" customHeight="false" outlineLevel="0" collapsed="false">
      <c r="A147" s="44"/>
      <c r="B147" s="45"/>
      <c r="C147" s="44"/>
      <c r="D147" s="44"/>
      <c r="E147" s="44"/>
      <c r="F147" s="44"/>
      <c r="G147" s="44"/>
      <c r="H147" s="44"/>
      <c r="I147" s="44"/>
      <c r="J147" s="44"/>
      <c r="K147" s="44"/>
      <c r="L147" s="46"/>
      <c r="M147" s="47"/>
      <c r="N147" s="47"/>
      <c r="O147" s="47"/>
      <c r="P147" s="47"/>
      <c r="Q147" s="47"/>
      <c r="R147" s="48"/>
      <c r="S147" s="49" t="str">
        <f aca="false">IF(E147="","",IFERROR(VLOOKUP(E147,Lists!$A$5:$C$8,2,FALSE()),""))</f>
        <v/>
      </c>
      <c r="T147" s="49" t="str">
        <f aca="false">IF(E147="","",IFERROR(VLOOKUP(E147,Lists!$A$5:$C$8,3,FALSE()),""))</f>
        <v/>
      </c>
      <c r="U147" s="50"/>
      <c r="V147" s="50"/>
      <c r="W147" s="51" t="str">
        <f aca="false">IF(OR(M147="",Q147="",R147="",S147="",T147=""),"",IF(H147="Long",(Q147-M147)/S147*T147*R147,IF(H147="Short",(M147-Q147)/S147*T147*R147,"")))</f>
        <v/>
      </c>
      <c r="X147" s="51" t="str">
        <f aca="false">IF(W147="","",W147-U147-V147)</f>
        <v/>
      </c>
      <c r="Y147" s="51" t="str">
        <f aca="false">IF(OR(M147="",N147="",R147="",S147="",T147=""),"",ABS(M147-N147)/S147*T147*R147+U147+V147)</f>
        <v/>
      </c>
      <c r="Z147" s="52" t="str">
        <f aca="false">IF(OR(X147="",Y147="",Y147=0),"",X147/Y147)</f>
        <v/>
      </c>
      <c r="AA147" s="50"/>
      <c r="AB147" s="50"/>
      <c r="AC147" s="44"/>
      <c r="AD147" s="44"/>
      <c r="AE147" s="44"/>
      <c r="AF147" s="44"/>
      <c r="AG147" s="44"/>
      <c r="AH147" s="44"/>
      <c r="AI147" s="44"/>
      <c r="AJ147" s="52" t="str">
        <f aca="false">IF(B147="","",SUM($Z$6:Z147))</f>
        <v/>
      </c>
      <c r="AK147" s="52" t="str">
        <f aca="false">IF(AJ147="","",MAX($AJ$6:AJ147))</f>
        <v/>
      </c>
      <c r="AL147" s="52" t="str">
        <f aca="false">IF(AJ147="","",AJ147-AK147)</f>
        <v/>
      </c>
    </row>
    <row r="148" customFormat="false" ht="15" hidden="false" customHeight="false" outlineLevel="0" collapsed="false">
      <c r="A148" s="44"/>
      <c r="B148" s="45"/>
      <c r="C148" s="44"/>
      <c r="D148" s="44"/>
      <c r="E148" s="44"/>
      <c r="F148" s="44"/>
      <c r="G148" s="44"/>
      <c r="H148" s="44"/>
      <c r="I148" s="44"/>
      <c r="J148" s="44"/>
      <c r="K148" s="44"/>
      <c r="L148" s="46"/>
      <c r="M148" s="47"/>
      <c r="N148" s="47"/>
      <c r="O148" s="47"/>
      <c r="P148" s="47"/>
      <c r="Q148" s="47"/>
      <c r="R148" s="48"/>
      <c r="S148" s="49" t="str">
        <f aca="false">IF(E148="","",IFERROR(VLOOKUP(E148,Lists!$A$5:$C$8,2,FALSE()),""))</f>
        <v/>
      </c>
      <c r="T148" s="49" t="str">
        <f aca="false">IF(E148="","",IFERROR(VLOOKUP(E148,Lists!$A$5:$C$8,3,FALSE()),""))</f>
        <v/>
      </c>
      <c r="U148" s="50"/>
      <c r="V148" s="50"/>
      <c r="W148" s="51" t="str">
        <f aca="false">IF(OR(M148="",Q148="",R148="",S148="",T148=""),"",IF(H148="Long",(Q148-M148)/S148*T148*R148,IF(H148="Short",(M148-Q148)/S148*T148*R148,"")))</f>
        <v/>
      </c>
      <c r="X148" s="51" t="str">
        <f aca="false">IF(W148="","",W148-U148-V148)</f>
        <v/>
      </c>
      <c r="Y148" s="51" t="str">
        <f aca="false">IF(OR(M148="",N148="",R148="",S148="",T148=""),"",ABS(M148-N148)/S148*T148*R148+U148+V148)</f>
        <v/>
      </c>
      <c r="Z148" s="52" t="str">
        <f aca="false">IF(OR(X148="",Y148="",Y148=0),"",X148/Y148)</f>
        <v/>
      </c>
      <c r="AA148" s="50"/>
      <c r="AB148" s="50"/>
      <c r="AC148" s="44"/>
      <c r="AD148" s="44"/>
      <c r="AE148" s="44"/>
      <c r="AF148" s="44"/>
      <c r="AG148" s="44"/>
      <c r="AH148" s="44"/>
      <c r="AI148" s="44"/>
      <c r="AJ148" s="52" t="str">
        <f aca="false">IF(B148="","",SUM($Z$6:Z148))</f>
        <v/>
      </c>
      <c r="AK148" s="52" t="str">
        <f aca="false">IF(AJ148="","",MAX($AJ$6:AJ148))</f>
        <v/>
      </c>
      <c r="AL148" s="52" t="str">
        <f aca="false">IF(AJ148="","",AJ148-AK148)</f>
        <v/>
      </c>
    </row>
    <row r="149" customFormat="false" ht="15" hidden="false" customHeight="false" outlineLevel="0" collapsed="false">
      <c r="A149" s="44"/>
      <c r="B149" s="45"/>
      <c r="C149" s="44"/>
      <c r="D149" s="44"/>
      <c r="E149" s="44"/>
      <c r="F149" s="44"/>
      <c r="G149" s="44"/>
      <c r="H149" s="44"/>
      <c r="I149" s="44"/>
      <c r="J149" s="44"/>
      <c r="K149" s="44"/>
      <c r="L149" s="46"/>
      <c r="M149" s="47"/>
      <c r="N149" s="47"/>
      <c r="O149" s="47"/>
      <c r="P149" s="47"/>
      <c r="Q149" s="47"/>
      <c r="R149" s="48"/>
      <c r="S149" s="49" t="str">
        <f aca="false">IF(E149="","",IFERROR(VLOOKUP(E149,Lists!$A$5:$C$8,2,FALSE()),""))</f>
        <v/>
      </c>
      <c r="T149" s="49" t="str">
        <f aca="false">IF(E149="","",IFERROR(VLOOKUP(E149,Lists!$A$5:$C$8,3,FALSE()),""))</f>
        <v/>
      </c>
      <c r="U149" s="50"/>
      <c r="V149" s="50"/>
      <c r="W149" s="51" t="str">
        <f aca="false">IF(OR(M149="",Q149="",R149="",S149="",T149=""),"",IF(H149="Long",(Q149-M149)/S149*T149*R149,IF(H149="Short",(M149-Q149)/S149*T149*R149,"")))</f>
        <v/>
      </c>
      <c r="X149" s="51" t="str">
        <f aca="false">IF(W149="","",W149-U149-V149)</f>
        <v/>
      </c>
      <c r="Y149" s="51" t="str">
        <f aca="false">IF(OR(M149="",N149="",R149="",S149="",T149=""),"",ABS(M149-N149)/S149*T149*R149+U149+V149)</f>
        <v/>
      </c>
      <c r="Z149" s="52" t="str">
        <f aca="false">IF(OR(X149="",Y149="",Y149=0),"",X149/Y149)</f>
        <v/>
      </c>
      <c r="AA149" s="50"/>
      <c r="AB149" s="50"/>
      <c r="AC149" s="44"/>
      <c r="AD149" s="44"/>
      <c r="AE149" s="44"/>
      <c r="AF149" s="44"/>
      <c r="AG149" s="44"/>
      <c r="AH149" s="44"/>
      <c r="AI149" s="44"/>
      <c r="AJ149" s="52" t="str">
        <f aca="false">IF(B149="","",SUM($Z$6:Z149))</f>
        <v/>
      </c>
      <c r="AK149" s="52" t="str">
        <f aca="false">IF(AJ149="","",MAX($AJ$6:AJ149))</f>
        <v/>
      </c>
      <c r="AL149" s="52" t="str">
        <f aca="false">IF(AJ149="","",AJ149-AK149)</f>
        <v/>
      </c>
    </row>
    <row r="150" customFormat="false" ht="15" hidden="false" customHeight="false" outlineLevel="0" collapsed="false">
      <c r="A150" s="44"/>
      <c r="B150" s="45"/>
      <c r="C150" s="44"/>
      <c r="D150" s="44"/>
      <c r="E150" s="44"/>
      <c r="F150" s="44"/>
      <c r="G150" s="44"/>
      <c r="H150" s="44"/>
      <c r="I150" s="44"/>
      <c r="J150" s="44"/>
      <c r="K150" s="44"/>
      <c r="L150" s="46"/>
      <c r="M150" s="47"/>
      <c r="N150" s="47"/>
      <c r="O150" s="47"/>
      <c r="P150" s="47"/>
      <c r="Q150" s="47"/>
      <c r="R150" s="48"/>
      <c r="S150" s="49" t="str">
        <f aca="false">IF(E150="","",IFERROR(VLOOKUP(E150,Lists!$A$5:$C$8,2,FALSE()),""))</f>
        <v/>
      </c>
      <c r="T150" s="49" t="str">
        <f aca="false">IF(E150="","",IFERROR(VLOOKUP(E150,Lists!$A$5:$C$8,3,FALSE()),""))</f>
        <v/>
      </c>
      <c r="U150" s="50"/>
      <c r="V150" s="50"/>
      <c r="W150" s="51" t="str">
        <f aca="false">IF(OR(M150="",Q150="",R150="",S150="",T150=""),"",IF(H150="Long",(Q150-M150)/S150*T150*R150,IF(H150="Short",(M150-Q150)/S150*T150*R150,"")))</f>
        <v/>
      </c>
      <c r="X150" s="51" t="str">
        <f aca="false">IF(W150="","",W150-U150-V150)</f>
        <v/>
      </c>
      <c r="Y150" s="51" t="str">
        <f aca="false">IF(OR(M150="",N150="",R150="",S150="",T150=""),"",ABS(M150-N150)/S150*T150*R150+U150+V150)</f>
        <v/>
      </c>
      <c r="Z150" s="52" t="str">
        <f aca="false">IF(OR(X150="",Y150="",Y150=0),"",X150/Y150)</f>
        <v/>
      </c>
      <c r="AA150" s="50"/>
      <c r="AB150" s="50"/>
      <c r="AC150" s="44"/>
      <c r="AD150" s="44"/>
      <c r="AE150" s="44"/>
      <c r="AF150" s="44"/>
      <c r="AG150" s="44"/>
      <c r="AH150" s="44"/>
      <c r="AI150" s="44"/>
      <c r="AJ150" s="52" t="str">
        <f aca="false">IF(B150="","",SUM($Z$6:Z150))</f>
        <v/>
      </c>
      <c r="AK150" s="52" t="str">
        <f aca="false">IF(AJ150="","",MAX($AJ$6:AJ150))</f>
        <v/>
      </c>
      <c r="AL150" s="52" t="str">
        <f aca="false">IF(AJ150="","",AJ150-AK150)</f>
        <v/>
      </c>
    </row>
    <row r="151" customFormat="false" ht="15" hidden="false" customHeight="false" outlineLevel="0" collapsed="false">
      <c r="A151" s="44"/>
      <c r="B151" s="45"/>
      <c r="C151" s="44"/>
      <c r="D151" s="44"/>
      <c r="E151" s="44"/>
      <c r="F151" s="44"/>
      <c r="G151" s="44"/>
      <c r="H151" s="44"/>
      <c r="I151" s="44"/>
      <c r="J151" s="44"/>
      <c r="K151" s="44"/>
      <c r="L151" s="46"/>
      <c r="M151" s="47"/>
      <c r="N151" s="47"/>
      <c r="O151" s="47"/>
      <c r="P151" s="47"/>
      <c r="Q151" s="47"/>
      <c r="R151" s="48"/>
      <c r="S151" s="49" t="str">
        <f aca="false">IF(E151="","",IFERROR(VLOOKUP(E151,Lists!$A$5:$C$8,2,FALSE()),""))</f>
        <v/>
      </c>
      <c r="T151" s="49" t="str">
        <f aca="false">IF(E151="","",IFERROR(VLOOKUP(E151,Lists!$A$5:$C$8,3,FALSE()),""))</f>
        <v/>
      </c>
      <c r="U151" s="50"/>
      <c r="V151" s="50"/>
      <c r="W151" s="51" t="str">
        <f aca="false">IF(OR(M151="",Q151="",R151="",S151="",T151=""),"",IF(H151="Long",(Q151-M151)/S151*T151*R151,IF(H151="Short",(M151-Q151)/S151*T151*R151,"")))</f>
        <v/>
      </c>
      <c r="X151" s="51" t="str">
        <f aca="false">IF(W151="","",W151-U151-V151)</f>
        <v/>
      </c>
      <c r="Y151" s="51" t="str">
        <f aca="false">IF(OR(M151="",N151="",R151="",S151="",T151=""),"",ABS(M151-N151)/S151*T151*R151+U151+V151)</f>
        <v/>
      </c>
      <c r="Z151" s="52" t="str">
        <f aca="false">IF(OR(X151="",Y151="",Y151=0),"",X151/Y151)</f>
        <v/>
      </c>
      <c r="AA151" s="50"/>
      <c r="AB151" s="50"/>
      <c r="AC151" s="44"/>
      <c r="AD151" s="44"/>
      <c r="AE151" s="44"/>
      <c r="AF151" s="44"/>
      <c r="AG151" s="44"/>
      <c r="AH151" s="44"/>
      <c r="AI151" s="44"/>
      <c r="AJ151" s="52" t="str">
        <f aca="false">IF(B151="","",SUM($Z$6:Z151))</f>
        <v/>
      </c>
      <c r="AK151" s="52" t="str">
        <f aca="false">IF(AJ151="","",MAX($AJ$6:AJ151))</f>
        <v/>
      </c>
      <c r="AL151" s="52" t="str">
        <f aca="false">IF(AJ151="","",AJ151-AK151)</f>
        <v/>
      </c>
    </row>
    <row r="152" customFormat="false" ht="15" hidden="false" customHeight="false" outlineLevel="0" collapsed="false">
      <c r="A152" s="44"/>
      <c r="B152" s="45"/>
      <c r="C152" s="44"/>
      <c r="D152" s="44"/>
      <c r="E152" s="44"/>
      <c r="F152" s="44"/>
      <c r="G152" s="44"/>
      <c r="H152" s="44"/>
      <c r="I152" s="44"/>
      <c r="J152" s="44"/>
      <c r="K152" s="44"/>
      <c r="L152" s="46"/>
      <c r="M152" s="47"/>
      <c r="N152" s="47"/>
      <c r="O152" s="47"/>
      <c r="P152" s="47"/>
      <c r="Q152" s="47"/>
      <c r="R152" s="48"/>
      <c r="S152" s="49" t="str">
        <f aca="false">IF(E152="","",IFERROR(VLOOKUP(E152,Lists!$A$5:$C$8,2,FALSE()),""))</f>
        <v/>
      </c>
      <c r="T152" s="49" t="str">
        <f aca="false">IF(E152="","",IFERROR(VLOOKUP(E152,Lists!$A$5:$C$8,3,FALSE()),""))</f>
        <v/>
      </c>
      <c r="U152" s="50"/>
      <c r="V152" s="50"/>
      <c r="W152" s="51" t="str">
        <f aca="false">IF(OR(M152="",Q152="",R152="",S152="",T152=""),"",IF(H152="Long",(Q152-M152)/S152*T152*R152,IF(H152="Short",(M152-Q152)/S152*T152*R152,"")))</f>
        <v/>
      </c>
      <c r="X152" s="51" t="str">
        <f aca="false">IF(W152="","",W152-U152-V152)</f>
        <v/>
      </c>
      <c r="Y152" s="51" t="str">
        <f aca="false">IF(OR(M152="",N152="",R152="",S152="",T152=""),"",ABS(M152-N152)/S152*T152*R152+U152+V152)</f>
        <v/>
      </c>
      <c r="Z152" s="52" t="str">
        <f aca="false">IF(OR(X152="",Y152="",Y152=0),"",X152/Y152)</f>
        <v/>
      </c>
      <c r="AA152" s="50"/>
      <c r="AB152" s="50"/>
      <c r="AC152" s="44"/>
      <c r="AD152" s="44"/>
      <c r="AE152" s="44"/>
      <c r="AF152" s="44"/>
      <c r="AG152" s="44"/>
      <c r="AH152" s="44"/>
      <c r="AI152" s="44"/>
      <c r="AJ152" s="52" t="str">
        <f aca="false">IF(B152="","",SUM($Z$6:Z152))</f>
        <v/>
      </c>
      <c r="AK152" s="52" t="str">
        <f aca="false">IF(AJ152="","",MAX($AJ$6:AJ152))</f>
        <v/>
      </c>
      <c r="AL152" s="52" t="str">
        <f aca="false">IF(AJ152="","",AJ152-AK152)</f>
        <v/>
      </c>
    </row>
    <row r="153" customFormat="false" ht="15" hidden="false" customHeight="false" outlineLevel="0" collapsed="false">
      <c r="A153" s="44"/>
      <c r="B153" s="45"/>
      <c r="C153" s="44"/>
      <c r="D153" s="44"/>
      <c r="E153" s="44"/>
      <c r="F153" s="44"/>
      <c r="G153" s="44"/>
      <c r="H153" s="44"/>
      <c r="I153" s="44"/>
      <c r="J153" s="44"/>
      <c r="K153" s="44"/>
      <c r="L153" s="46"/>
      <c r="M153" s="47"/>
      <c r="N153" s="47"/>
      <c r="O153" s="47"/>
      <c r="P153" s="47"/>
      <c r="Q153" s="47"/>
      <c r="R153" s="48"/>
      <c r="S153" s="49" t="str">
        <f aca="false">IF(E153="","",IFERROR(VLOOKUP(E153,Lists!$A$5:$C$8,2,FALSE()),""))</f>
        <v/>
      </c>
      <c r="T153" s="49" t="str">
        <f aca="false">IF(E153="","",IFERROR(VLOOKUP(E153,Lists!$A$5:$C$8,3,FALSE()),""))</f>
        <v/>
      </c>
      <c r="U153" s="50"/>
      <c r="V153" s="50"/>
      <c r="W153" s="51" t="str">
        <f aca="false">IF(OR(M153="",Q153="",R153="",S153="",T153=""),"",IF(H153="Long",(Q153-M153)/S153*T153*R153,IF(H153="Short",(M153-Q153)/S153*T153*R153,"")))</f>
        <v/>
      </c>
      <c r="X153" s="51" t="str">
        <f aca="false">IF(W153="","",W153-U153-V153)</f>
        <v/>
      </c>
      <c r="Y153" s="51" t="str">
        <f aca="false">IF(OR(M153="",N153="",R153="",S153="",T153=""),"",ABS(M153-N153)/S153*T153*R153+U153+V153)</f>
        <v/>
      </c>
      <c r="Z153" s="52" t="str">
        <f aca="false">IF(OR(X153="",Y153="",Y153=0),"",X153/Y153)</f>
        <v/>
      </c>
      <c r="AA153" s="50"/>
      <c r="AB153" s="50"/>
      <c r="AC153" s="44"/>
      <c r="AD153" s="44"/>
      <c r="AE153" s="44"/>
      <c r="AF153" s="44"/>
      <c r="AG153" s="44"/>
      <c r="AH153" s="44"/>
      <c r="AI153" s="44"/>
      <c r="AJ153" s="52" t="str">
        <f aca="false">IF(B153="","",SUM($Z$6:Z153))</f>
        <v/>
      </c>
      <c r="AK153" s="52" t="str">
        <f aca="false">IF(AJ153="","",MAX($AJ$6:AJ153))</f>
        <v/>
      </c>
      <c r="AL153" s="52" t="str">
        <f aca="false">IF(AJ153="","",AJ153-AK153)</f>
        <v/>
      </c>
    </row>
    <row r="154" customFormat="false" ht="15" hidden="false" customHeight="false" outlineLevel="0" collapsed="false">
      <c r="A154" s="44"/>
      <c r="B154" s="45"/>
      <c r="C154" s="44"/>
      <c r="D154" s="44"/>
      <c r="E154" s="44"/>
      <c r="F154" s="44"/>
      <c r="G154" s="44"/>
      <c r="H154" s="44"/>
      <c r="I154" s="44"/>
      <c r="J154" s="44"/>
      <c r="K154" s="44"/>
      <c r="L154" s="46"/>
      <c r="M154" s="47"/>
      <c r="N154" s="47"/>
      <c r="O154" s="47"/>
      <c r="P154" s="47"/>
      <c r="Q154" s="47"/>
      <c r="R154" s="48"/>
      <c r="S154" s="49" t="str">
        <f aca="false">IF(E154="","",IFERROR(VLOOKUP(E154,Lists!$A$5:$C$8,2,FALSE()),""))</f>
        <v/>
      </c>
      <c r="T154" s="49" t="str">
        <f aca="false">IF(E154="","",IFERROR(VLOOKUP(E154,Lists!$A$5:$C$8,3,FALSE()),""))</f>
        <v/>
      </c>
      <c r="U154" s="50"/>
      <c r="V154" s="50"/>
      <c r="W154" s="51" t="str">
        <f aca="false">IF(OR(M154="",Q154="",R154="",S154="",T154=""),"",IF(H154="Long",(Q154-M154)/S154*T154*R154,IF(H154="Short",(M154-Q154)/S154*T154*R154,"")))</f>
        <v/>
      </c>
      <c r="X154" s="51" t="str">
        <f aca="false">IF(W154="","",W154-U154-V154)</f>
        <v/>
      </c>
      <c r="Y154" s="51" t="str">
        <f aca="false">IF(OR(M154="",N154="",R154="",S154="",T154=""),"",ABS(M154-N154)/S154*T154*R154+U154+V154)</f>
        <v/>
      </c>
      <c r="Z154" s="52" t="str">
        <f aca="false">IF(OR(X154="",Y154="",Y154=0),"",X154/Y154)</f>
        <v/>
      </c>
      <c r="AA154" s="50"/>
      <c r="AB154" s="50"/>
      <c r="AC154" s="44"/>
      <c r="AD154" s="44"/>
      <c r="AE154" s="44"/>
      <c r="AF154" s="44"/>
      <c r="AG154" s="44"/>
      <c r="AH154" s="44"/>
      <c r="AI154" s="44"/>
      <c r="AJ154" s="52" t="str">
        <f aca="false">IF(B154="","",SUM($Z$6:Z154))</f>
        <v/>
      </c>
      <c r="AK154" s="52" t="str">
        <f aca="false">IF(AJ154="","",MAX($AJ$6:AJ154))</f>
        <v/>
      </c>
      <c r="AL154" s="52" t="str">
        <f aca="false">IF(AJ154="","",AJ154-AK154)</f>
        <v/>
      </c>
    </row>
    <row r="155" customFormat="false" ht="15" hidden="false" customHeight="false" outlineLevel="0" collapsed="false">
      <c r="A155" s="44"/>
      <c r="B155" s="45"/>
      <c r="C155" s="44"/>
      <c r="D155" s="44"/>
      <c r="E155" s="44"/>
      <c r="F155" s="44"/>
      <c r="G155" s="44"/>
      <c r="H155" s="44"/>
      <c r="I155" s="44"/>
      <c r="J155" s="44"/>
      <c r="K155" s="44"/>
      <c r="L155" s="46"/>
      <c r="M155" s="47"/>
      <c r="N155" s="47"/>
      <c r="O155" s="47"/>
      <c r="P155" s="47"/>
      <c r="Q155" s="47"/>
      <c r="R155" s="48"/>
      <c r="S155" s="49" t="str">
        <f aca="false">IF(E155="","",IFERROR(VLOOKUP(E155,Lists!$A$5:$C$8,2,FALSE()),""))</f>
        <v/>
      </c>
      <c r="T155" s="49" t="str">
        <f aca="false">IF(E155="","",IFERROR(VLOOKUP(E155,Lists!$A$5:$C$8,3,FALSE()),""))</f>
        <v/>
      </c>
      <c r="U155" s="50"/>
      <c r="V155" s="50"/>
      <c r="W155" s="51" t="str">
        <f aca="false">IF(OR(M155="",Q155="",R155="",S155="",T155=""),"",IF(H155="Long",(Q155-M155)/S155*T155*R155,IF(H155="Short",(M155-Q155)/S155*T155*R155,"")))</f>
        <v/>
      </c>
      <c r="X155" s="51" t="str">
        <f aca="false">IF(W155="","",W155-U155-V155)</f>
        <v/>
      </c>
      <c r="Y155" s="51" t="str">
        <f aca="false">IF(OR(M155="",N155="",R155="",S155="",T155=""),"",ABS(M155-N155)/S155*T155*R155+U155+V155)</f>
        <v/>
      </c>
      <c r="Z155" s="52" t="str">
        <f aca="false">IF(OR(X155="",Y155="",Y155=0),"",X155/Y155)</f>
        <v/>
      </c>
      <c r="AA155" s="50"/>
      <c r="AB155" s="50"/>
      <c r="AC155" s="44"/>
      <c r="AD155" s="44"/>
      <c r="AE155" s="44"/>
      <c r="AF155" s="44"/>
      <c r="AG155" s="44"/>
      <c r="AH155" s="44"/>
      <c r="AI155" s="44"/>
      <c r="AJ155" s="52" t="str">
        <f aca="false">IF(B155="","",SUM($Z$6:Z155))</f>
        <v/>
      </c>
      <c r="AK155" s="52" t="str">
        <f aca="false">IF(AJ155="","",MAX($AJ$6:AJ155))</f>
        <v/>
      </c>
      <c r="AL155" s="52" t="str">
        <f aca="false">IF(AJ155="","",AJ155-AK155)</f>
        <v/>
      </c>
    </row>
    <row r="156" customFormat="false" ht="15" hidden="false" customHeight="false" outlineLevel="0" collapsed="false">
      <c r="A156" s="44"/>
      <c r="B156" s="45"/>
      <c r="C156" s="44"/>
      <c r="D156" s="44"/>
      <c r="E156" s="44"/>
      <c r="F156" s="44"/>
      <c r="G156" s="44"/>
      <c r="H156" s="44"/>
      <c r="I156" s="44"/>
      <c r="J156" s="44"/>
      <c r="K156" s="44"/>
      <c r="L156" s="46"/>
      <c r="M156" s="47"/>
      <c r="N156" s="47"/>
      <c r="O156" s="47"/>
      <c r="P156" s="47"/>
      <c r="Q156" s="47"/>
      <c r="R156" s="48"/>
      <c r="S156" s="49" t="str">
        <f aca="false">IF(E156="","",IFERROR(VLOOKUP(E156,Lists!$A$5:$C$8,2,FALSE()),""))</f>
        <v/>
      </c>
      <c r="T156" s="49" t="str">
        <f aca="false">IF(E156="","",IFERROR(VLOOKUP(E156,Lists!$A$5:$C$8,3,FALSE()),""))</f>
        <v/>
      </c>
      <c r="U156" s="50"/>
      <c r="V156" s="50"/>
      <c r="W156" s="51" t="str">
        <f aca="false">IF(OR(M156="",Q156="",R156="",S156="",T156=""),"",IF(H156="Long",(Q156-M156)/S156*T156*R156,IF(H156="Short",(M156-Q156)/S156*T156*R156,"")))</f>
        <v/>
      </c>
      <c r="X156" s="51" t="str">
        <f aca="false">IF(W156="","",W156-U156-V156)</f>
        <v/>
      </c>
      <c r="Y156" s="51" t="str">
        <f aca="false">IF(OR(M156="",N156="",R156="",S156="",T156=""),"",ABS(M156-N156)/S156*T156*R156+U156+V156)</f>
        <v/>
      </c>
      <c r="Z156" s="52" t="str">
        <f aca="false">IF(OR(X156="",Y156="",Y156=0),"",X156/Y156)</f>
        <v/>
      </c>
      <c r="AA156" s="50"/>
      <c r="AB156" s="50"/>
      <c r="AC156" s="44"/>
      <c r="AD156" s="44"/>
      <c r="AE156" s="44"/>
      <c r="AF156" s="44"/>
      <c r="AG156" s="44"/>
      <c r="AH156" s="44"/>
      <c r="AI156" s="44"/>
      <c r="AJ156" s="52" t="str">
        <f aca="false">IF(B156="","",SUM($Z$6:Z156))</f>
        <v/>
      </c>
      <c r="AK156" s="52" t="str">
        <f aca="false">IF(AJ156="","",MAX($AJ$6:AJ156))</f>
        <v/>
      </c>
      <c r="AL156" s="52" t="str">
        <f aca="false">IF(AJ156="","",AJ156-AK156)</f>
        <v/>
      </c>
    </row>
    <row r="157" customFormat="false" ht="15" hidden="false" customHeight="false" outlineLevel="0" collapsed="false">
      <c r="A157" s="44"/>
      <c r="B157" s="45"/>
      <c r="C157" s="44"/>
      <c r="D157" s="44"/>
      <c r="E157" s="44"/>
      <c r="F157" s="44"/>
      <c r="G157" s="44"/>
      <c r="H157" s="44"/>
      <c r="I157" s="44"/>
      <c r="J157" s="44"/>
      <c r="K157" s="44"/>
      <c r="L157" s="46"/>
      <c r="M157" s="47"/>
      <c r="N157" s="47"/>
      <c r="O157" s="47"/>
      <c r="P157" s="47"/>
      <c r="Q157" s="47"/>
      <c r="R157" s="48"/>
      <c r="S157" s="49" t="str">
        <f aca="false">IF(E157="","",IFERROR(VLOOKUP(E157,Lists!$A$5:$C$8,2,FALSE()),""))</f>
        <v/>
      </c>
      <c r="T157" s="49" t="str">
        <f aca="false">IF(E157="","",IFERROR(VLOOKUP(E157,Lists!$A$5:$C$8,3,FALSE()),""))</f>
        <v/>
      </c>
      <c r="U157" s="50"/>
      <c r="V157" s="50"/>
      <c r="W157" s="51" t="str">
        <f aca="false">IF(OR(M157="",Q157="",R157="",S157="",T157=""),"",IF(H157="Long",(Q157-M157)/S157*T157*R157,IF(H157="Short",(M157-Q157)/S157*T157*R157,"")))</f>
        <v/>
      </c>
      <c r="X157" s="51" t="str">
        <f aca="false">IF(W157="","",W157-U157-V157)</f>
        <v/>
      </c>
      <c r="Y157" s="51" t="str">
        <f aca="false">IF(OR(M157="",N157="",R157="",S157="",T157=""),"",ABS(M157-N157)/S157*T157*R157+U157+V157)</f>
        <v/>
      </c>
      <c r="Z157" s="52" t="str">
        <f aca="false">IF(OR(X157="",Y157="",Y157=0),"",X157/Y157)</f>
        <v/>
      </c>
      <c r="AA157" s="50"/>
      <c r="AB157" s="50"/>
      <c r="AC157" s="44"/>
      <c r="AD157" s="44"/>
      <c r="AE157" s="44"/>
      <c r="AF157" s="44"/>
      <c r="AG157" s="44"/>
      <c r="AH157" s="44"/>
      <c r="AI157" s="44"/>
      <c r="AJ157" s="52" t="str">
        <f aca="false">IF(B157="","",SUM($Z$6:Z157))</f>
        <v/>
      </c>
      <c r="AK157" s="52" t="str">
        <f aca="false">IF(AJ157="","",MAX($AJ$6:AJ157))</f>
        <v/>
      </c>
      <c r="AL157" s="52" t="str">
        <f aca="false">IF(AJ157="","",AJ157-AK157)</f>
        <v/>
      </c>
    </row>
    <row r="158" customFormat="false" ht="15" hidden="false" customHeight="false" outlineLevel="0" collapsed="false">
      <c r="A158" s="44"/>
      <c r="B158" s="45"/>
      <c r="C158" s="44"/>
      <c r="D158" s="44"/>
      <c r="E158" s="44"/>
      <c r="F158" s="44"/>
      <c r="G158" s="44"/>
      <c r="H158" s="44"/>
      <c r="I158" s="44"/>
      <c r="J158" s="44"/>
      <c r="K158" s="44"/>
      <c r="L158" s="46"/>
      <c r="M158" s="47"/>
      <c r="N158" s="47"/>
      <c r="O158" s="47"/>
      <c r="P158" s="47"/>
      <c r="Q158" s="47"/>
      <c r="R158" s="48"/>
      <c r="S158" s="49" t="str">
        <f aca="false">IF(E158="","",IFERROR(VLOOKUP(E158,Lists!$A$5:$C$8,2,FALSE()),""))</f>
        <v/>
      </c>
      <c r="T158" s="49" t="str">
        <f aca="false">IF(E158="","",IFERROR(VLOOKUP(E158,Lists!$A$5:$C$8,3,FALSE()),""))</f>
        <v/>
      </c>
      <c r="U158" s="50"/>
      <c r="V158" s="50"/>
      <c r="W158" s="51" t="str">
        <f aca="false">IF(OR(M158="",Q158="",R158="",S158="",T158=""),"",IF(H158="Long",(Q158-M158)/S158*T158*R158,IF(H158="Short",(M158-Q158)/S158*T158*R158,"")))</f>
        <v/>
      </c>
      <c r="X158" s="51" t="str">
        <f aca="false">IF(W158="","",W158-U158-V158)</f>
        <v/>
      </c>
      <c r="Y158" s="51" t="str">
        <f aca="false">IF(OR(M158="",N158="",R158="",S158="",T158=""),"",ABS(M158-N158)/S158*T158*R158+U158+V158)</f>
        <v/>
      </c>
      <c r="Z158" s="52" t="str">
        <f aca="false">IF(OR(X158="",Y158="",Y158=0),"",X158/Y158)</f>
        <v/>
      </c>
      <c r="AA158" s="50"/>
      <c r="AB158" s="50"/>
      <c r="AC158" s="44"/>
      <c r="AD158" s="44"/>
      <c r="AE158" s="44"/>
      <c r="AF158" s="44"/>
      <c r="AG158" s="44"/>
      <c r="AH158" s="44"/>
      <c r="AI158" s="44"/>
      <c r="AJ158" s="52" t="str">
        <f aca="false">IF(B158="","",SUM($Z$6:Z158))</f>
        <v/>
      </c>
      <c r="AK158" s="52" t="str">
        <f aca="false">IF(AJ158="","",MAX($AJ$6:AJ158))</f>
        <v/>
      </c>
      <c r="AL158" s="52" t="str">
        <f aca="false">IF(AJ158="","",AJ158-AK158)</f>
        <v/>
      </c>
    </row>
    <row r="159" customFormat="false" ht="15" hidden="false" customHeight="false" outlineLevel="0" collapsed="false">
      <c r="A159" s="44"/>
      <c r="B159" s="45"/>
      <c r="C159" s="44"/>
      <c r="D159" s="44"/>
      <c r="E159" s="44"/>
      <c r="F159" s="44"/>
      <c r="G159" s="44"/>
      <c r="H159" s="44"/>
      <c r="I159" s="44"/>
      <c r="J159" s="44"/>
      <c r="K159" s="44"/>
      <c r="L159" s="46"/>
      <c r="M159" s="47"/>
      <c r="N159" s="47"/>
      <c r="O159" s="47"/>
      <c r="P159" s="47"/>
      <c r="Q159" s="47"/>
      <c r="R159" s="48"/>
      <c r="S159" s="49" t="str">
        <f aca="false">IF(E159="","",IFERROR(VLOOKUP(E159,Lists!$A$5:$C$8,2,FALSE()),""))</f>
        <v/>
      </c>
      <c r="T159" s="49" t="str">
        <f aca="false">IF(E159="","",IFERROR(VLOOKUP(E159,Lists!$A$5:$C$8,3,FALSE()),""))</f>
        <v/>
      </c>
      <c r="U159" s="50"/>
      <c r="V159" s="50"/>
      <c r="W159" s="51" t="str">
        <f aca="false">IF(OR(M159="",Q159="",R159="",S159="",T159=""),"",IF(H159="Long",(Q159-M159)/S159*T159*R159,IF(H159="Short",(M159-Q159)/S159*T159*R159,"")))</f>
        <v/>
      </c>
      <c r="X159" s="51" t="str">
        <f aca="false">IF(W159="","",W159-U159-V159)</f>
        <v/>
      </c>
      <c r="Y159" s="51" t="str">
        <f aca="false">IF(OR(M159="",N159="",R159="",S159="",T159=""),"",ABS(M159-N159)/S159*T159*R159+U159+V159)</f>
        <v/>
      </c>
      <c r="Z159" s="52" t="str">
        <f aca="false">IF(OR(X159="",Y159="",Y159=0),"",X159/Y159)</f>
        <v/>
      </c>
      <c r="AA159" s="50"/>
      <c r="AB159" s="50"/>
      <c r="AC159" s="44"/>
      <c r="AD159" s="44"/>
      <c r="AE159" s="44"/>
      <c r="AF159" s="44"/>
      <c r="AG159" s="44"/>
      <c r="AH159" s="44"/>
      <c r="AI159" s="44"/>
      <c r="AJ159" s="52" t="str">
        <f aca="false">IF(B159="","",SUM($Z$6:Z159))</f>
        <v/>
      </c>
      <c r="AK159" s="52" t="str">
        <f aca="false">IF(AJ159="","",MAX($AJ$6:AJ159))</f>
        <v/>
      </c>
      <c r="AL159" s="52" t="str">
        <f aca="false">IF(AJ159="","",AJ159-AK159)</f>
        <v/>
      </c>
    </row>
    <row r="160" customFormat="false" ht="15" hidden="false" customHeight="false" outlineLevel="0" collapsed="false">
      <c r="A160" s="44"/>
      <c r="B160" s="45"/>
      <c r="C160" s="44"/>
      <c r="D160" s="44"/>
      <c r="E160" s="44"/>
      <c r="F160" s="44"/>
      <c r="G160" s="44"/>
      <c r="H160" s="44"/>
      <c r="I160" s="44"/>
      <c r="J160" s="44"/>
      <c r="K160" s="44"/>
      <c r="L160" s="46"/>
      <c r="M160" s="47"/>
      <c r="N160" s="47"/>
      <c r="O160" s="47"/>
      <c r="P160" s="47"/>
      <c r="Q160" s="47"/>
      <c r="R160" s="48"/>
      <c r="S160" s="49" t="str">
        <f aca="false">IF(E160="","",IFERROR(VLOOKUP(E160,Lists!$A$5:$C$8,2,FALSE()),""))</f>
        <v/>
      </c>
      <c r="T160" s="49" t="str">
        <f aca="false">IF(E160="","",IFERROR(VLOOKUP(E160,Lists!$A$5:$C$8,3,FALSE()),""))</f>
        <v/>
      </c>
      <c r="U160" s="50"/>
      <c r="V160" s="50"/>
      <c r="W160" s="51" t="str">
        <f aca="false">IF(OR(M160="",Q160="",R160="",S160="",T160=""),"",IF(H160="Long",(Q160-M160)/S160*T160*R160,IF(H160="Short",(M160-Q160)/S160*T160*R160,"")))</f>
        <v/>
      </c>
      <c r="X160" s="51" t="str">
        <f aca="false">IF(W160="","",W160-U160-V160)</f>
        <v/>
      </c>
      <c r="Y160" s="51" t="str">
        <f aca="false">IF(OR(M160="",N160="",R160="",S160="",T160=""),"",ABS(M160-N160)/S160*T160*R160+U160+V160)</f>
        <v/>
      </c>
      <c r="Z160" s="52" t="str">
        <f aca="false">IF(OR(X160="",Y160="",Y160=0),"",X160/Y160)</f>
        <v/>
      </c>
      <c r="AA160" s="50"/>
      <c r="AB160" s="50"/>
      <c r="AC160" s="44"/>
      <c r="AD160" s="44"/>
      <c r="AE160" s="44"/>
      <c r="AF160" s="44"/>
      <c r="AG160" s="44"/>
      <c r="AH160" s="44"/>
      <c r="AI160" s="44"/>
      <c r="AJ160" s="52" t="str">
        <f aca="false">IF(B160="","",SUM($Z$6:Z160))</f>
        <v/>
      </c>
      <c r="AK160" s="52" t="str">
        <f aca="false">IF(AJ160="","",MAX($AJ$6:AJ160))</f>
        <v/>
      </c>
      <c r="AL160" s="52" t="str">
        <f aca="false">IF(AJ160="","",AJ160-AK160)</f>
        <v/>
      </c>
    </row>
    <row r="161" customFormat="false" ht="15" hidden="false" customHeight="false" outlineLevel="0" collapsed="false">
      <c r="A161" s="44"/>
      <c r="B161" s="45"/>
      <c r="C161" s="44"/>
      <c r="D161" s="44"/>
      <c r="E161" s="44"/>
      <c r="F161" s="44"/>
      <c r="G161" s="44"/>
      <c r="H161" s="44"/>
      <c r="I161" s="44"/>
      <c r="J161" s="44"/>
      <c r="K161" s="44"/>
      <c r="L161" s="46"/>
      <c r="M161" s="47"/>
      <c r="N161" s="47"/>
      <c r="O161" s="47"/>
      <c r="P161" s="47"/>
      <c r="Q161" s="47"/>
      <c r="R161" s="48"/>
      <c r="S161" s="49" t="str">
        <f aca="false">IF(E161="","",IFERROR(VLOOKUP(E161,Lists!$A$5:$C$8,2,FALSE()),""))</f>
        <v/>
      </c>
      <c r="T161" s="49" t="str">
        <f aca="false">IF(E161="","",IFERROR(VLOOKUP(E161,Lists!$A$5:$C$8,3,FALSE()),""))</f>
        <v/>
      </c>
      <c r="U161" s="50"/>
      <c r="V161" s="50"/>
      <c r="W161" s="51" t="str">
        <f aca="false">IF(OR(M161="",Q161="",R161="",S161="",T161=""),"",IF(H161="Long",(Q161-M161)/S161*T161*R161,IF(H161="Short",(M161-Q161)/S161*T161*R161,"")))</f>
        <v/>
      </c>
      <c r="X161" s="51" t="str">
        <f aca="false">IF(W161="","",W161-U161-V161)</f>
        <v/>
      </c>
      <c r="Y161" s="51" t="str">
        <f aca="false">IF(OR(M161="",N161="",R161="",S161="",T161=""),"",ABS(M161-N161)/S161*T161*R161+U161+V161)</f>
        <v/>
      </c>
      <c r="Z161" s="52" t="str">
        <f aca="false">IF(OR(X161="",Y161="",Y161=0),"",X161/Y161)</f>
        <v/>
      </c>
      <c r="AA161" s="50"/>
      <c r="AB161" s="50"/>
      <c r="AC161" s="44"/>
      <c r="AD161" s="44"/>
      <c r="AE161" s="44"/>
      <c r="AF161" s="44"/>
      <c r="AG161" s="44"/>
      <c r="AH161" s="44"/>
      <c r="AI161" s="44"/>
      <c r="AJ161" s="52" t="str">
        <f aca="false">IF(B161="","",SUM($Z$6:Z161))</f>
        <v/>
      </c>
      <c r="AK161" s="52" t="str">
        <f aca="false">IF(AJ161="","",MAX($AJ$6:AJ161))</f>
        <v/>
      </c>
      <c r="AL161" s="52" t="str">
        <f aca="false">IF(AJ161="","",AJ161-AK161)</f>
        <v/>
      </c>
    </row>
    <row r="162" customFormat="false" ht="15" hidden="false" customHeight="false" outlineLevel="0" collapsed="false">
      <c r="A162" s="44"/>
      <c r="B162" s="45"/>
      <c r="C162" s="44"/>
      <c r="D162" s="44"/>
      <c r="E162" s="44"/>
      <c r="F162" s="44"/>
      <c r="G162" s="44"/>
      <c r="H162" s="44"/>
      <c r="I162" s="44"/>
      <c r="J162" s="44"/>
      <c r="K162" s="44"/>
      <c r="L162" s="46"/>
      <c r="M162" s="47"/>
      <c r="N162" s="47"/>
      <c r="O162" s="47"/>
      <c r="P162" s="47"/>
      <c r="Q162" s="47"/>
      <c r="R162" s="48"/>
      <c r="S162" s="49" t="str">
        <f aca="false">IF(E162="","",IFERROR(VLOOKUP(E162,Lists!$A$5:$C$8,2,FALSE()),""))</f>
        <v/>
      </c>
      <c r="T162" s="49" t="str">
        <f aca="false">IF(E162="","",IFERROR(VLOOKUP(E162,Lists!$A$5:$C$8,3,FALSE()),""))</f>
        <v/>
      </c>
      <c r="U162" s="50"/>
      <c r="V162" s="50"/>
      <c r="W162" s="51" t="str">
        <f aca="false">IF(OR(M162="",Q162="",R162="",S162="",T162=""),"",IF(H162="Long",(Q162-M162)/S162*T162*R162,IF(H162="Short",(M162-Q162)/S162*T162*R162,"")))</f>
        <v/>
      </c>
      <c r="X162" s="51" t="str">
        <f aca="false">IF(W162="","",W162-U162-V162)</f>
        <v/>
      </c>
      <c r="Y162" s="51" t="str">
        <f aca="false">IF(OR(M162="",N162="",R162="",S162="",T162=""),"",ABS(M162-N162)/S162*T162*R162+U162+V162)</f>
        <v/>
      </c>
      <c r="Z162" s="52" t="str">
        <f aca="false">IF(OR(X162="",Y162="",Y162=0),"",X162/Y162)</f>
        <v/>
      </c>
      <c r="AA162" s="50"/>
      <c r="AB162" s="50"/>
      <c r="AC162" s="44"/>
      <c r="AD162" s="44"/>
      <c r="AE162" s="44"/>
      <c r="AF162" s="44"/>
      <c r="AG162" s="44"/>
      <c r="AH162" s="44"/>
      <c r="AI162" s="44"/>
      <c r="AJ162" s="52" t="str">
        <f aca="false">IF(B162="","",SUM($Z$6:Z162))</f>
        <v/>
      </c>
      <c r="AK162" s="52" t="str">
        <f aca="false">IF(AJ162="","",MAX($AJ$6:AJ162))</f>
        <v/>
      </c>
      <c r="AL162" s="52" t="str">
        <f aca="false">IF(AJ162="","",AJ162-AK162)</f>
        <v/>
      </c>
    </row>
    <row r="163" customFormat="false" ht="15" hidden="false" customHeight="false" outlineLevel="0" collapsed="false">
      <c r="A163" s="44"/>
      <c r="B163" s="45"/>
      <c r="C163" s="44"/>
      <c r="D163" s="44"/>
      <c r="E163" s="44"/>
      <c r="F163" s="44"/>
      <c r="G163" s="44"/>
      <c r="H163" s="44"/>
      <c r="I163" s="44"/>
      <c r="J163" s="44"/>
      <c r="K163" s="44"/>
      <c r="L163" s="46"/>
      <c r="M163" s="47"/>
      <c r="N163" s="47"/>
      <c r="O163" s="47"/>
      <c r="P163" s="47"/>
      <c r="Q163" s="47"/>
      <c r="R163" s="48"/>
      <c r="S163" s="49" t="str">
        <f aca="false">IF(E163="","",IFERROR(VLOOKUP(E163,Lists!$A$5:$C$8,2,FALSE()),""))</f>
        <v/>
      </c>
      <c r="T163" s="49" t="str">
        <f aca="false">IF(E163="","",IFERROR(VLOOKUP(E163,Lists!$A$5:$C$8,3,FALSE()),""))</f>
        <v/>
      </c>
      <c r="U163" s="50"/>
      <c r="V163" s="50"/>
      <c r="W163" s="51" t="str">
        <f aca="false">IF(OR(M163="",Q163="",R163="",S163="",T163=""),"",IF(H163="Long",(Q163-M163)/S163*T163*R163,IF(H163="Short",(M163-Q163)/S163*T163*R163,"")))</f>
        <v/>
      </c>
      <c r="X163" s="51" t="str">
        <f aca="false">IF(W163="","",W163-U163-V163)</f>
        <v/>
      </c>
      <c r="Y163" s="51" t="str">
        <f aca="false">IF(OR(M163="",N163="",R163="",S163="",T163=""),"",ABS(M163-N163)/S163*T163*R163+U163+V163)</f>
        <v/>
      </c>
      <c r="Z163" s="52" t="str">
        <f aca="false">IF(OR(X163="",Y163="",Y163=0),"",X163/Y163)</f>
        <v/>
      </c>
      <c r="AA163" s="50"/>
      <c r="AB163" s="50"/>
      <c r="AC163" s="44"/>
      <c r="AD163" s="44"/>
      <c r="AE163" s="44"/>
      <c r="AF163" s="44"/>
      <c r="AG163" s="44"/>
      <c r="AH163" s="44"/>
      <c r="AI163" s="44"/>
      <c r="AJ163" s="52" t="str">
        <f aca="false">IF(B163="","",SUM($Z$6:Z163))</f>
        <v/>
      </c>
      <c r="AK163" s="52" t="str">
        <f aca="false">IF(AJ163="","",MAX($AJ$6:AJ163))</f>
        <v/>
      </c>
      <c r="AL163" s="52" t="str">
        <f aca="false">IF(AJ163="","",AJ163-AK163)</f>
        <v/>
      </c>
    </row>
    <row r="164" customFormat="false" ht="15" hidden="false" customHeight="false" outlineLevel="0" collapsed="false">
      <c r="A164" s="44"/>
      <c r="B164" s="45"/>
      <c r="C164" s="44"/>
      <c r="D164" s="44"/>
      <c r="E164" s="44"/>
      <c r="F164" s="44"/>
      <c r="G164" s="44"/>
      <c r="H164" s="44"/>
      <c r="I164" s="44"/>
      <c r="J164" s="44"/>
      <c r="K164" s="44"/>
      <c r="L164" s="46"/>
      <c r="M164" s="47"/>
      <c r="N164" s="47"/>
      <c r="O164" s="47"/>
      <c r="P164" s="47"/>
      <c r="Q164" s="47"/>
      <c r="R164" s="48"/>
      <c r="S164" s="49" t="str">
        <f aca="false">IF(E164="","",IFERROR(VLOOKUP(E164,Lists!$A$5:$C$8,2,FALSE()),""))</f>
        <v/>
      </c>
      <c r="T164" s="49" t="str">
        <f aca="false">IF(E164="","",IFERROR(VLOOKUP(E164,Lists!$A$5:$C$8,3,FALSE()),""))</f>
        <v/>
      </c>
      <c r="U164" s="50"/>
      <c r="V164" s="50"/>
      <c r="W164" s="51" t="str">
        <f aca="false">IF(OR(M164="",Q164="",R164="",S164="",T164=""),"",IF(H164="Long",(Q164-M164)/S164*T164*R164,IF(H164="Short",(M164-Q164)/S164*T164*R164,"")))</f>
        <v/>
      </c>
      <c r="X164" s="51" t="str">
        <f aca="false">IF(W164="","",W164-U164-V164)</f>
        <v/>
      </c>
      <c r="Y164" s="51" t="str">
        <f aca="false">IF(OR(M164="",N164="",R164="",S164="",T164=""),"",ABS(M164-N164)/S164*T164*R164+U164+V164)</f>
        <v/>
      </c>
      <c r="Z164" s="52" t="str">
        <f aca="false">IF(OR(X164="",Y164="",Y164=0),"",X164/Y164)</f>
        <v/>
      </c>
      <c r="AA164" s="50"/>
      <c r="AB164" s="50"/>
      <c r="AC164" s="44"/>
      <c r="AD164" s="44"/>
      <c r="AE164" s="44"/>
      <c r="AF164" s="44"/>
      <c r="AG164" s="44"/>
      <c r="AH164" s="44"/>
      <c r="AI164" s="44"/>
      <c r="AJ164" s="52" t="str">
        <f aca="false">IF(B164="","",SUM($Z$6:Z164))</f>
        <v/>
      </c>
      <c r="AK164" s="52" t="str">
        <f aca="false">IF(AJ164="","",MAX($AJ$6:AJ164))</f>
        <v/>
      </c>
      <c r="AL164" s="52" t="str">
        <f aca="false">IF(AJ164="","",AJ164-AK164)</f>
        <v/>
      </c>
    </row>
    <row r="165" customFormat="false" ht="15" hidden="false" customHeight="false" outlineLevel="0" collapsed="false">
      <c r="A165" s="44"/>
      <c r="B165" s="45"/>
      <c r="C165" s="44"/>
      <c r="D165" s="44"/>
      <c r="E165" s="44"/>
      <c r="F165" s="44"/>
      <c r="G165" s="44"/>
      <c r="H165" s="44"/>
      <c r="I165" s="44"/>
      <c r="J165" s="44"/>
      <c r="K165" s="44"/>
      <c r="L165" s="46"/>
      <c r="M165" s="47"/>
      <c r="N165" s="47"/>
      <c r="O165" s="47"/>
      <c r="P165" s="47"/>
      <c r="Q165" s="47"/>
      <c r="R165" s="48"/>
      <c r="S165" s="49" t="str">
        <f aca="false">IF(E165="","",IFERROR(VLOOKUP(E165,Lists!$A$5:$C$8,2,FALSE()),""))</f>
        <v/>
      </c>
      <c r="T165" s="49" t="str">
        <f aca="false">IF(E165="","",IFERROR(VLOOKUP(E165,Lists!$A$5:$C$8,3,FALSE()),""))</f>
        <v/>
      </c>
      <c r="U165" s="50"/>
      <c r="V165" s="50"/>
      <c r="W165" s="51" t="str">
        <f aca="false">IF(OR(M165="",Q165="",R165="",S165="",T165=""),"",IF(H165="Long",(Q165-M165)/S165*T165*R165,IF(H165="Short",(M165-Q165)/S165*T165*R165,"")))</f>
        <v/>
      </c>
      <c r="X165" s="51" t="str">
        <f aca="false">IF(W165="","",W165-U165-V165)</f>
        <v/>
      </c>
      <c r="Y165" s="51" t="str">
        <f aca="false">IF(OR(M165="",N165="",R165="",S165="",T165=""),"",ABS(M165-N165)/S165*T165*R165+U165+V165)</f>
        <v/>
      </c>
      <c r="Z165" s="52" t="str">
        <f aca="false">IF(OR(X165="",Y165="",Y165=0),"",X165/Y165)</f>
        <v/>
      </c>
      <c r="AA165" s="50"/>
      <c r="AB165" s="50"/>
      <c r="AC165" s="44"/>
      <c r="AD165" s="44"/>
      <c r="AE165" s="44"/>
      <c r="AF165" s="44"/>
      <c r="AG165" s="44"/>
      <c r="AH165" s="44"/>
      <c r="AI165" s="44"/>
      <c r="AJ165" s="52" t="str">
        <f aca="false">IF(B165="","",SUM($Z$6:Z165))</f>
        <v/>
      </c>
      <c r="AK165" s="52" t="str">
        <f aca="false">IF(AJ165="","",MAX($AJ$6:AJ165))</f>
        <v/>
      </c>
      <c r="AL165" s="52" t="str">
        <f aca="false">IF(AJ165="","",AJ165-AK165)</f>
        <v/>
      </c>
    </row>
    <row r="166" customFormat="false" ht="15" hidden="false" customHeight="false" outlineLevel="0" collapsed="false">
      <c r="A166" s="44"/>
      <c r="B166" s="45"/>
      <c r="C166" s="44"/>
      <c r="D166" s="44"/>
      <c r="E166" s="44"/>
      <c r="F166" s="44"/>
      <c r="G166" s="44"/>
      <c r="H166" s="44"/>
      <c r="I166" s="44"/>
      <c r="J166" s="44"/>
      <c r="K166" s="44"/>
      <c r="L166" s="46"/>
      <c r="M166" s="47"/>
      <c r="N166" s="47"/>
      <c r="O166" s="47"/>
      <c r="P166" s="47"/>
      <c r="Q166" s="47"/>
      <c r="R166" s="48"/>
      <c r="S166" s="49" t="str">
        <f aca="false">IF(E166="","",IFERROR(VLOOKUP(E166,Lists!$A$5:$C$8,2,FALSE()),""))</f>
        <v/>
      </c>
      <c r="T166" s="49" t="str">
        <f aca="false">IF(E166="","",IFERROR(VLOOKUP(E166,Lists!$A$5:$C$8,3,FALSE()),""))</f>
        <v/>
      </c>
      <c r="U166" s="50"/>
      <c r="V166" s="50"/>
      <c r="W166" s="51" t="str">
        <f aca="false">IF(OR(M166="",Q166="",R166="",S166="",T166=""),"",IF(H166="Long",(Q166-M166)/S166*T166*R166,IF(H166="Short",(M166-Q166)/S166*T166*R166,"")))</f>
        <v/>
      </c>
      <c r="X166" s="51" t="str">
        <f aca="false">IF(W166="","",W166-U166-V166)</f>
        <v/>
      </c>
      <c r="Y166" s="51" t="str">
        <f aca="false">IF(OR(M166="",N166="",R166="",S166="",T166=""),"",ABS(M166-N166)/S166*T166*R166+U166+V166)</f>
        <v/>
      </c>
      <c r="Z166" s="52" t="str">
        <f aca="false">IF(OR(X166="",Y166="",Y166=0),"",X166/Y166)</f>
        <v/>
      </c>
      <c r="AA166" s="50"/>
      <c r="AB166" s="50"/>
      <c r="AC166" s="44"/>
      <c r="AD166" s="44"/>
      <c r="AE166" s="44"/>
      <c r="AF166" s="44"/>
      <c r="AG166" s="44"/>
      <c r="AH166" s="44"/>
      <c r="AI166" s="44"/>
      <c r="AJ166" s="52" t="str">
        <f aca="false">IF(B166="","",SUM($Z$6:Z166))</f>
        <v/>
      </c>
      <c r="AK166" s="52" t="str">
        <f aca="false">IF(AJ166="","",MAX($AJ$6:AJ166))</f>
        <v/>
      </c>
      <c r="AL166" s="52" t="str">
        <f aca="false">IF(AJ166="","",AJ166-AK166)</f>
        <v/>
      </c>
    </row>
    <row r="167" customFormat="false" ht="15" hidden="false" customHeight="false" outlineLevel="0" collapsed="false">
      <c r="A167" s="44"/>
      <c r="B167" s="45"/>
      <c r="C167" s="44"/>
      <c r="D167" s="44"/>
      <c r="E167" s="44"/>
      <c r="F167" s="44"/>
      <c r="G167" s="44"/>
      <c r="H167" s="44"/>
      <c r="I167" s="44"/>
      <c r="J167" s="44"/>
      <c r="K167" s="44"/>
      <c r="L167" s="46"/>
      <c r="M167" s="47"/>
      <c r="N167" s="47"/>
      <c r="O167" s="47"/>
      <c r="P167" s="47"/>
      <c r="Q167" s="47"/>
      <c r="R167" s="48"/>
      <c r="S167" s="49" t="str">
        <f aca="false">IF(E167="","",IFERROR(VLOOKUP(E167,Lists!$A$5:$C$8,2,FALSE()),""))</f>
        <v/>
      </c>
      <c r="T167" s="49" t="str">
        <f aca="false">IF(E167="","",IFERROR(VLOOKUP(E167,Lists!$A$5:$C$8,3,FALSE()),""))</f>
        <v/>
      </c>
      <c r="U167" s="50"/>
      <c r="V167" s="50"/>
      <c r="W167" s="51" t="str">
        <f aca="false">IF(OR(M167="",Q167="",R167="",S167="",T167=""),"",IF(H167="Long",(Q167-M167)/S167*T167*R167,IF(H167="Short",(M167-Q167)/S167*T167*R167,"")))</f>
        <v/>
      </c>
      <c r="X167" s="51" t="str">
        <f aca="false">IF(W167="","",W167-U167-V167)</f>
        <v/>
      </c>
      <c r="Y167" s="51" t="str">
        <f aca="false">IF(OR(M167="",N167="",R167="",S167="",T167=""),"",ABS(M167-N167)/S167*T167*R167+U167+V167)</f>
        <v/>
      </c>
      <c r="Z167" s="52" t="str">
        <f aca="false">IF(OR(X167="",Y167="",Y167=0),"",X167/Y167)</f>
        <v/>
      </c>
      <c r="AA167" s="50"/>
      <c r="AB167" s="50"/>
      <c r="AC167" s="44"/>
      <c r="AD167" s="44"/>
      <c r="AE167" s="44"/>
      <c r="AF167" s="44"/>
      <c r="AG167" s="44"/>
      <c r="AH167" s="44"/>
      <c r="AI167" s="44"/>
      <c r="AJ167" s="52" t="str">
        <f aca="false">IF(B167="","",SUM($Z$6:Z167))</f>
        <v/>
      </c>
      <c r="AK167" s="52" t="str">
        <f aca="false">IF(AJ167="","",MAX($AJ$6:AJ167))</f>
        <v/>
      </c>
      <c r="AL167" s="52" t="str">
        <f aca="false">IF(AJ167="","",AJ167-AK167)</f>
        <v/>
      </c>
    </row>
    <row r="168" customFormat="false" ht="15" hidden="false" customHeight="false" outlineLevel="0" collapsed="false">
      <c r="A168" s="44"/>
      <c r="B168" s="45"/>
      <c r="C168" s="44"/>
      <c r="D168" s="44"/>
      <c r="E168" s="44"/>
      <c r="F168" s="44"/>
      <c r="G168" s="44"/>
      <c r="H168" s="44"/>
      <c r="I168" s="44"/>
      <c r="J168" s="44"/>
      <c r="K168" s="44"/>
      <c r="L168" s="46"/>
      <c r="M168" s="47"/>
      <c r="N168" s="47"/>
      <c r="O168" s="47"/>
      <c r="P168" s="47"/>
      <c r="Q168" s="47"/>
      <c r="R168" s="48"/>
      <c r="S168" s="49" t="str">
        <f aca="false">IF(E168="","",IFERROR(VLOOKUP(E168,Lists!$A$5:$C$8,2,FALSE()),""))</f>
        <v/>
      </c>
      <c r="T168" s="49" t="str">
        <f aca="false">IF(E168="","",IFERROR(VLOOKUP(E168,Lists!$A$5:$C$8,3,FALSE()),""))</f>
        <v/>
      </c>
      <c r="U168" s="50"/>
      <c r="V168" s="50"/>
      <c r="W168" s="51" t="str">
        <f aca="false">IF(OR(M168="",Q168="",R168="",S168="",T168=""),"",IF(H168="Long",(Q168-M168)/S168*T168*R168,IF(H168="Short",(M168-Q168)/S168*T168*R168,"")))</f>
        <v/>
      </c>
      <c r="X168" s="51" t="str">
        <f aca="false">IF(W168="","",W168-U168-V168)</f>
        <v/>
      </c>
      <c r="Y168" s="51" t="str">
        <f aca="false">IF(OR(M168="",N168="",R168="",S168="",T168=""),"",ABS(M168-N168)/S168*T168*R168+U168+V168)</f>
        <v/>
      </c>
      <c r="Z168" s="52" t="str">
        <f aca="false">IF(OR(X168="",Y168="",Y168=0),"",X168/Y168)</f>
        <v/>
      </c>
      <c r="AA168" s="50"/>
      <c r="AB168" s="50"/>
      <c r="AC168" s="44"/>
      <c r="AD168" s="44"/>
      <c r="AE168" s="44"/>
      <c r="AF168" s="44"/>
      <c r="AG168" s="44"/>
      <c r="AH168" s="44"/>
      <c r="AI168" s="44"/>
      <c r="AJ168" s="52" t="str">
        <f aca="false">IF(B168="","",SUM($Z$6:Z168))</f>
        <v/>
      </c>
      <c r="AK168" s="52" t="str">
        <f aca="false">IF(AJ168="","",MAX($AJ$6:AJ168))</f>
        <v/>
      </c>
      <c r="AL168" s="52" t="str">
        <f aca="false">IF(AJ168="","",AJ168-AK168)</f>
        <v/>
      </c>
    </row>
    <row r="169" customFormat="false" ht="15" hidden="false" customHeight="false" outlineLevel="0" collapsed="false">
      <c r="A169" s="44"/>
      <c r="B169" s="45"/>
      <c r="C169" s="44"/>
      <c r="D169" s="44"/>
      <c r="E169" s="44"/>
      <c r="F169" s="44"/>
      <c r="G169" s="44"/>
      <c r="H169" s="44"/>
      <c r="I169" s="44"/>
      <c r="J169" s="44"/>
      <c r="K169" s="44"/>
      <c r="L169" s="46"/>
      <c r="M169" s="47"/>
      <c r="N169" s="47"/>
      <c r="O169" s="47"/>
      <c r="P169" s="47"/>
      <c r="Q169" s="47"/>
      <c r="R169" s="48"/>
      <c r="S169" s="49" t="str">
        <f aca="false">IF(E169="","",IFERROR(VLOOKUP(E169,Lists!$A$5:$C$8,2,FALSE()),""))</f>
        <v/>
      </c>
      <c r="T169" s="49" t="str">
        <f aca="false">IF(E169="","",IFERROR(VLOOKUP(E169,Lists!$A$5:$C$8,3,FALSE()),""))</f>
        <v/>
      </c>
      <c r="U169" s="50"/>
      <c r="V169" s="50"/>
      <c r="W169" s="51" t="str">
        <f aca="false">IF(OR(M169="",Q169="",R169="",S169="",T169=""),"",IF(H169="Long",(Q169-M169)/S169*T169*R169,IF(H169="Short",(M169-Q169)/S169*T169*R169,"")))</f>
        <v/>
      </c>
      <c r="X169" s="51" t="str">
        <f aca="false">IF(W169="","",W169-U169-V169)</f>
        <v/>
      </c>
      <c r="Y169" s="51" t="str">
        <f aca="false">IF(OR(M169="",N169="",R169="",S169="",T169=""),"",ABS(M169-N169)/S169*T169*R169+U169+V169)</f>
        <v/>
      </c>
      <c r="Z169" s="52" t="str">
        <f aca="false">IF(OR(X169="",Y169="",Y169=0),"",X169/Y169)</f>
        <v/>
      </c>
      <c r="AA169" s="50"/>
      <c r="AB169" s="50"/>
      <c r="AC169" s="44"/>
      <c r="AD169" s="44"/>
      <c r="AE169" s="44"/>
      <c r="AF169" s="44"/>
      <c r="AG169" s="44"/>
      <c r="AH169" s="44"/>
      <c r="AI169" s="44"/>
      <c r="AJ169" s="52" t="str">
        <f aca="false">IF(B169="","",SUM($Z$6:Z169))</f>
        <v/>
      </c>
      <c r="AK169" s="52" t="str">
        <f aca="false">IF(AJ169="","",MAX($AJ$6:AJ169))</f>
        <v/>
      </c>
      <c r="AL169" s="52" t="str">
        <f aca="false">IF(AJ169="","",AJ169-AK169)</f>
        <v/>
      </c>
    </row>
    <row r="170" customFormat="false" ht="15" hidden="false" customHeight="false" outlineLevel="0" collapsed="false">
      <c r="A170" s="44"/>
      <c r="B170" s="45"/>
      <c r="C170" s="44"/>
      <c r="D170" s="44"/>
      <c r="E170" s="44"/>
      <c r="F170" s="44"/>
      <c r="G170" s="44"/>
      <c r="H170" s="44"/>
      <c r="I170" s="44"/>
      <c r="J170" s="44"/>
      <c r="K170" s="44"/>
      <c r="L170" s="46"/>
      <c r="M170" s="47"/>
      <c r="N170" s="47"/>
      <c r="O170" s="47"/>
      <c r="P170" s="47"/>
      <c r="Q170" s="47"/>
      <c r="R170" s="48"/>
      <c r="S170" s="49" t="str">
        <f aca="false">IF(E170="","",IFERROR(VLOOKUP(E170,Lists!$A$5:$C$8,2,FALSE()),""))</f>
        <v/>
      </c>
      <c r="T170" s="49" t="str">
        <f aca="false">IF(E170="","",IFERROR(VLOOKUP(E170,Lists!$A$5:$C$8,3,FALSE()),""))</f>
        <v/>
      </c>
      <c r="U170" s="50"/>
      <c r="V170" s="50"/>
      <c r="W170" s="51" t="str">
        <f aca="false">IF(OR(M170="",Q170="",R170="",S170="",T170=""),"",IF(H170="Long",(Q170-M170)/S170*T170*R170,IF(H170="Short",(M170-Q170)/S170*T170*R170,"")))</f>
        <v/>
      </c>
      <c r="X170" s="51" t="str">
        <f aca="false">IF(W170="","",W170-U170-V170)</f>
        <v/>
      </c>
      <c r="Y170" s="51" t="str">
        <f aca="false">IF(OR(M170="",N170="",R170="",S170="",T170=""),"",ABS(M170-N170)/S170*T170*R170+U170+V170)</f>
        <v/>
      </c>
      <c r="Z170" s="52" t="str">
        <f aca="false">IF(OR(X170="",Y170="",Y170=0),"",X170/Y170)</f>
        <v/>
      </c>
      <c r="AA170" s="50"/>
      <c r="AB170" s="50"/>
      <c r="AC170" s="44"/>
      <c r="AD170" s="44"/>
      <c r="AE170" s="44"/>
      <c r="AF170" s="44"/>
      <c r="AG170" s="44"/>
      <c r="AH170" s="44"/>
      <c r="AI170" s="44"/>
      <c r="AJ170" s="52" t="str">
        <f aca="false">IF(B170="","",SUM($Z$6:Z170))</f>
        <v/>
      </c>
      <c r="AK170" s="52" t="str">
        <f aca="false">IF(AJ170="","",MAX($AJ$6:AJ170))</f>
        <v/>
      </c>
      <c r="AL170" s="52" t="str">
        <f aca="false">IF(AJ170="","",AJ170-AK170)</f>
        <v/>
      </c>
    </row>
    <row r="171" customFormat="false" ht="15" hidden="false" customHeight="false" outlineLevel="0" collapsed="false">
      <c r="A171" s="44"/>
      <c r="B171" s="45"/>
      <c r="C171" s="44"/>
      <c r="D171" s="44"/>
      <c r="E171" s="44"/>
      <c r="F171" s="44"/>
      <c r="G171" s="44"/>
      <c r="H171" s="44"/>
      <c r="I171" s="44"/>
      <c r="J171" s="44"/>
      <c r="K171" s="44"/>
      <c r="L171" s="46"/>
      <c r="M171" s="47"/>
      <c r="N171" s="47"/>
      <c r="O171" s="47"/>
      <c r="P171" s="47"/>
      <c r="Q171" s="47"/>
      <c r="R171" s="48"/>
      <c r="S171" s="49" t="str">
        <f aca="false">IF(E171="","",IFERROR(VLOOKUP(E171,Lists!$A$5:$C$8,2,FALSE()),""))</f>
        <v/>
      </c>
      <c r="T171" s="49" t="str">
        <f aca="false">IF(E171="","",IFERROR(VLOOKUP(E171,Lists!$A$5:$C$8,3,FALSE()),""))</f>
        <v/>
      </c>
      <c r="U171" s="50"/>
      <c r="V171" s="50"/>
      <c r="W171" s="51" t="str">
        <f aca="false">IF(OR(M171="",Q171="",R171="",S171="",T171=""),"",IF(H171="Long",(Q171-M171)/S171*T171*R171,IF(H171="Short",(M171-Q171)/S171*T171*R171,"")))</f>
        <v/>
      </c>
      <c r="X171" s="51" t="str">
        <f aca="false">IF(W171="","",W171-U171-V171)</f>
        <v/>
      </c>
      <c r="Y171" s="51" t="str">
        <f aca="false">IF(OR(M171="",N171="",R171="",S171="",T171=""),"",ABS(M171-N171)/S171*T171*R171+U171+V171)</f>
        <v/>
      </c>
      <c r="Z171" s="52" t="str">
        <f aca="false">IF(OR(X171="",Y171="",Y171=0),"",X171/Y171)</f>
        <v/>
      </c>
      <c r="AA171" s="50"/>
      <c r="AB171" s="50"/>
      <c r="AC171" s="44"/>
      <c r="AD171" s="44"/>
      <c r="AE171" s="44"/>
      <c r="AF171" s="44"/>
      <c r="AG171" s="44"/>
      <c r="AH171" s="44"/>
      <c r="AI171" s="44"/>
      <c r="AJ171" s="52" t="str">
        <f aca="false">IF(B171="","",SUM($Z$6:Z171))</f>
        <v/>
      </c>
      <c r="AK171" s="52" t="str">
        <f aca="false">IF(AJ171="","",MAX($AJ$6:AJ171))</f>
        <v/>
      </c>
      <c r="AL171" s="52" t="str">
        <f aca="false">IF(AJ171="","",AJ171-AK171)</f>
        <v/>
      </c>
    </row>
    <row r="172" customFormat="false" ht="15" hidden="false" customHeight="false" outlineLevel="0" collapsed="false">
      <c r="A172" s="44"/>
      <c r="B172" s="45"/>
      <c r="C172" s="44"/>
      <c r="D172" s="44"/>
      <c r="E172" s="44"/>
      <c r="F172" s="44"/>
      <c r="G172" s="44"/>
      <c r="H172" s="44"/>
      <c r="I172" s="44"/>
      <c r="J172" s="44"/>
      <c r="K172" s="44"/>
      <c r="L172" s="46"/>
      <c r="M172" s="47"/>
      <c r="N172" s="47"/>
      <c r="O172" s="47"/>
      <c r="P172" s="47"/>
      <c r="Q172" s="47"/>
      <c r="R172" s="48"/>
      <c r="S172" s="49" t="str">
        <f aca="false">IF(E172="","",IFERROR(VLOOKUP(E172,Lists!$A$5:$C$8,2,FALSE()),""))</f>
        <v/>
      </c>
      <c r="T172" s="49" t="str">
        <f aca="false">IF(E172="","",IFERROR(VLOOKUP(E172,Lists!$A$5:$C$8,3,FALSE()),""))</f>
        <v/>
      </c>
      <c r="U172" s="50"/>
      <c r="V172" s="50"/>
      <c r="W172" s="51" t="str">
        <f aca="false">IF(OR(M172="",Q172="",R172="",S172="",T172=""),"",IF(H172="Long",(Q172-M172)/S172*T172*R172,IF(H172="Short",(M172-Q172)/S172*T172*R172,"")))</f>
        <v/>
      </c>
      <c r="X172" s="51" t="str">
        <f aca="false">IF(W172="","",W172-U172-V172)</f>
        <v/>
      </c>
      <c r="Y172" s="51" t="str">
        <f aca="false">IF(OR(M172="",N172="",R172="",S172="",T172=""),"",ABS(M172-N172)/S172*T172*R172+U172+V172)</f>
        <v/>
      </c>
      <c r="Z172" s="52" t="str">
        <f aca="false">IF(OR(X172="",Y172="",Y172=0),"",X172/Y172)</f>
        <v/>
      </c>
      <c r="AA172" s="50"/>
      <c r="AB172" s="50"/>
      <c r="AC172" s="44"/>
      <c r="AD172" s="44"/>
      <c r="AE172" s="44"/>
      <c r="AF172" s="44"/>
      <c r="AG172" s="44"/>
      <c r="AH172" s="44"/>
      <c r="AI172" s="44"/>
      <c r="AJ172" s="52" t="str">
        <f aca="false">IF(B172="","",SUM($Z$6:Z172))</f>
        <v/>
      </c>
      <c r="AK172" s="52" t="str">
        <f aca="false">IF(AJ172="","",MAX($AJ$6:AJ172))</f>
        <v/>
      </c>
      <c r="AL172" s="52" t="str">
        <f aca="false">IF(AJ172="","",AJ172-AK172)</f>
        <v/>
      </c>
    </row>
    <row r="173" customFormat="false" ht="15" hidden="false" customHeight="false" outlineLevel="0" collapsed="false">
      <c r="A173" s="44"/>
      <c r="B173" s="45"/>
      <c r="C173" s="44"/>
      <c r="D173" s="44"/>
      <c r="E173" s="44"/>
      <c r="F173" s="44"/>
      <c r="G173" s="44"/>
      <c r="H173" s="44"/>
      <c r="I173" s="44"/>
      <c r="J173" s="44"/>
      <c r="K173" s="44"/>
      <c r="L173" s="46"/>
      <c r="M173" s="47"/>
      <c r="N173" s="47"/>
      <c r="O173" s="47"/>
      <c r="P173" s="47"/>
      <c r="Q173" s="47"/>
      <c r="R173" s="48"/>
      <c r="S173" s="49" t="str">
        <f aca="false">IF(E173="","",IFERROR(VLOOKUP(E173,Lists!$A$5:$C$8,2,FALSE()),""))</f>
        <v/>
      </c>
      <c r="T173" s="49" t="str">
        <f aca="false">IF(E173="","",IFERROR(VLOOKUP(E173,Lists!$A$5:$C$8,3,FALSE()),""))</f>
        <v/>
      </c>
      <c r="U173" s="50"/>
      <c r="V173" s="50"/>
      <c r="W173" s="51" t="str">
        <f aca="false">IF(OR(M173="",Q173="",R173="",S173="",T173=""),"",IF(H173="Long",(Q173-M173)/S173*T173*R173,IF(H173="Short",(M173-Q173)/S173*T173*R173,"")))</f>
        <v/>
      </c>
      <c r="X173" s="51" t="str">
        <f aca="false">IF(W173="","",W173-U173-V173)</f>
        <v/>
      </c>
      <c r="Y173" s="51" t="str">
        <f aca="false">IF(OR(M173="",N173="",R173="",S173="",T173=""),"",ABS(M173-N173)/S173*T173*R173+U173+V173)</f>
        <v/>
      </c>
      <c r="Z173" s="52" t="str">
        <f aca="false">IF(OR(X173="",Y173="",Y173=0),"",X173/Y173)</f>
        <v/>
      </c>
      <c r="AA173" s="50"/>
      <c r="AB173" s="50"/>
      <c r="AC173" s="44"/>
      <c r="AD173" s="44"/>
      <c r="AE173" s="44"/>
      <c r="AF173" s="44"/>
      <c r="AG173" s="44"/>
      <c r="AH173" s="44"/>
      <c r="AI173" s="44"/>
      <c r="AJ173" s="52" t="str">
        <f aca="false">IF(B173="","",SUM($Z$6:Z173))</f>
        <v/>
      </c>
      <c r="AK173" s="52" t="str">
        <f aca="false">IF(AJ173="","",MAX($AJ$6:AJ173))</f>
        <v/>
      </c>
      <c r="AL173" s="52" t="str">
        <f aca="false">IF(AJ173="","",AJ173-AK173)</f>
        <v/>
      </c>
    </row>
    <row r="174" customFormat="false" ht="15" hidden="false" customHeight="false" outlineLevel="0" collapsed="false">
      <c r="A174" s="44"/>
      <c r="B174" s="45"/>
      <c r="C174" s="44"/>
      <c r="D174" s="44"/>
      <c r="E174" s="44"/>
      <c r="F174" s="44"/>
      <c r="G174" s="44"/>
      <c r="H174" s="44"/>
      <c r="I174" s="44"/>
      <c r="J174" s="44"/>
      <c r="K174" s="44"/>
      <c r="L174" s="46"/>
      <c r="M174" s="47"/>
      <c r="N174" s="47"/>
      <c r="O174" s="47"/>
      <c r="P174" s="47"/>
      <c r="Q174" s="47"/>
      <c r="R174" s="48"/>
      <c r="S174" s="49" t="str">
        <f aca="false">IF(E174="","",IFERROR(VLOOKUP(E174,Lists!$A$5:$C$8,2,FALSE()),""))</f>
        <v/>
      </c>
      <c r="T174" s="49" t="str">
        <f aca="false">IF(E174="","",IFERROR(VLOOKUP(E174,Lists!$A$5:$C$8,3,FALSE()),""))</f>
        <v/>
      </c>
      <c r="U174" s="50"/>
      <c r="V174" s="50"/>
      <c r="W174" s="51" t="str">
        <f aca="false">IF(OR(M174="",Q174="",R174="",S174="",T174=""),"",IF(H174="Long",(Q174-M174)/S174*T174*R174,IF(H174="Short",(M174-Q174)/S174*T174*R174,"")))</f>
        <v/>
      </c>
      <c r="X174" s="51" t="str">
        <f aca="false">IF(W174="","",W174-U174-V174)</f>
        <v/>
      </c>
      <c r="Y174" s="51" t="str">
        <f aca="false">IF(OR(M174="",N174="",R174="",S174="",T174=""),"",ABS(M174-N174)/S174*T174*R174+U174+V174)</f>
        <v/>
      </c>
      <c r="Z174" s="52" t="str">
        <f aca="false">IF(OR(X174="",Y174="",Y174=0),"",X174/Y174)</f>
        <v/>
      </c>
      <c r="AA174" s="50"/>
      <c r="AB174" s="50"/>
      <c r="AC174" s="44"/>
      <c r="AD174" s="44"/>
      <c r="AE174" s="44"/>
      <c r="AF174" s="44"/>
      <c r="AG174" s="44"/>
      <c r="AH174" s="44"/>
      <c r="AI174" s="44"/>
      <c r="AJ174" s="52" t="str">
        <f aca="false">IF(B174="","",SUM($Z$6:Z174))</f>
        <v/>
      </c>
      <c r="AK174" s="52" t="str">
        <f aca="false">IF(AJ174="","",MAX($AJ$6:AJ174))</f>
        <v/>
      </c>
      <c r="AL174" s="52" t="str">
        <f aca="false">IF(AJ174="","",AJ174-AK174)</f>
        <v/>
      </c>
    </row>
    <row r="175" customFormat="false" ht="15" hidden="false" customHeight="false" outlineLevel="0" collapsed="false">
      <c r="A175" s="44"/>
      <c r="B175" s="45"/>
      <c r="C175" s="44"/>
      <c r="D175" s="44"/>
      <c r="E175" s="44"/>
      <c r="F175" s="44"/>
      <c r="G175" s="44"/>
      <c r="H175" s="44"/>
      <c r="I175" s="44"/>
      <c r="J175" s="44"/>
      <c r="K175" s="44"/>
      <c r="L175" s="46"/>
      <c r="M175" s="47"/>
      <c r="N175" s="47"/>
      <c r="O175" s="47"/>
      <c r="P175" s="47"/>
      <c r="Q175" s="47"/>
      <c r="R175" s="48"/>
      <c r="S175" s="49" t="str">
        <f aca="false">IF(E175="","",IFERROR(VLOOKUP(E175,Lists!$A$5:$C$8,2,FALSE()),""))</f>
        <v/>
      </c>
      <c r="T175" s="49" t="str">
        <f aca="false">IF(E175="","",IFERROR(VLOOKUP(E175,Lists!$A$5:$C$8,3,FALSE()),""))</f>
        <v/>
      </c>
      <c r="U175" s="50"/>
      <c r="V175" s="50"/>
      <c r="W175" s="51" t="str">
        <f aca="false">IF(OR(M175="",Q175="",R175="",S175="",T175=""),"",IF(H175="Long",(Q175-M175)/S175*T175*R175,IF(H175="Short",(M175-Q175)/S175*T175*R175,"")))</f>
        <v/>
      </c>
      <c r="X175" s="51" t="str">
        <f aca="false">IF(W175="","",W175-U175-V175)</f>
        <v/>
      </c>
      <c r="Y175" s="51" t="str">
        <f aca="false">IF(OR(M175="",N175="",R175="",S175="",T175=""),"",ABS(M175-N175)/S175*T175*R175+U175+V175)</f>
        <v/>
      </c>
      <c r="Z175" s="52" t="str">
        <f aca="false">IF(OR(X175="",Y175="",Y175=0),"",X175/Y175)</f>
        <v/>
      </c>
      <c r="AA175" s="50"/>
      <c r="AB175" s="50"/>
      <c r="AC175" s="44"/>
      <c r="AD175" s="44"/>
      <c r="AE175" s="44"/>
      <c r="AF175" s="44"/>
      <c r="AG175" s="44"/>
      <c r="AH175" s="44"/>
      <c r="AI175" s="44"/>
      <c r="AJ175" s="52" t="str">
        <f aca="false">IF(B175="","",SUM($Z$6:Z175))</f>
        <v/>
      </c>
      <c r="AK175" s="52" t="str">
        <f aca="false">IF(AJ175="","",MAX($AJ$6:AJ175))</f>
        <v/>
      </c>
      <c r="AL175" s="52" t="str">
        <f aca="false">IF(AJ175="","",AJ175-AK175)</f>
        <v/>
      </c>
    </row>
    <row r="176" customFormat="false" ht="15" hidden="false" customHeight="false" outlineLevel="0" collapsed="false">
      <c r="A176" s="44"/>
      <c r="B176" s="45"/>
      <c r="C176" s="44"/>
      <c r="D176" s="44"/>
      <c r="E176" s="44"/>
      <c r="F176" s="44"/>
      <c r="G176" s="44"/>
      <c r="H176" s="44"/>
      <c r="I176" s="44"/>
      <c r="J176" s="44"/>
      <c r="K176" s="44"/>
      <c r="L176" s="46"/>
      <c r="M176" s="47"/>
      <c r="N176" s="47"/>
      <c r="O176" s="47"/>
      <c r="P176" s="47"/>
      <c r="Q176" s="47"/>
      <c r="R176" s="48"/>
      <c r="S176" s="49" t="str">
        <f aca="false">IF(E176="","",IFERROR(VLOOKUP(E176,Lists!$A$5:$C$8,2,FALSE()),""))</f>
        <v/>
      </c>
      <c r="T176" s="49" t="str">
        <f aca="false">IF(E176="","",IFERROR(VLOOKUP(E176,Lists!$A$5:$C$8,3,FALSE()),""))</f>
        <v/>
      </c>
      <c r="U176" s="50"/>
      <c r="V176" s="50"/>
      <c r="W176" s="51" t="str">
        <f aca="false">IF(OR(M176="",Q176="",R176="",S176="",T176=""),"",IF(H176="Long",(Q176-M176)/S176*T176*R176,IF(H176="Short",(M176-Q176)/S176*T176*R176,"")))</f>
        <v/>
      </c>
      <c r="X176" s="51" t="str">
        <f aca="false">IF(W176="","",W176-U176-V176)</f>
        <v/>
      </c>
      <c r="Y176" s="51" t="str">
        <f aca="false">IF(OR(M176="",N176="",R176="",S176="",T176=""),"",ABS(M176-N176)/S176*T176*R176+U176+V176)</f>
        <v/>
      </c>
      <c r="Z176" s="52" t="str">
        <f aca="false">IF(OR(X176="",Y176="",Y176=0),"",X176/Y176)</f>
        <v/>
      </c>
      <c r="AA176" s="50"/>
      <c r="AB176" s="50"/>
      <c r="AC176" s="44"/>
      <c r="AD176" s="44"/>
      <c r="AE176" s="44"/>
      <c r="AF176" s="44"/>
      <c r="AG176" s="44"/>
      <c r="AH176" s="44"/>
      <c r="AI176" s="44"/>
      <c r="AJ176" s="52" t="str">
        <f aca="false">IF(B176="","",SUM($Z$6:Z176))</f>
        <v/>
      </c>
      <c r="AK176" s="52" t="str">
        <f aca="false">IF(AJ176="","",MAX($AJ$6:AJ176))</f>
        <v/>
      </c>
      <c r="AL176" s="52" t="str">
        <f aca="false">IF(AJ176="","",AJ176-AK176)</f>
        <v/>
      </c>
    </row>
    <row r="177" customFormat="false" ht="15" hidden="false" customHeight="false" outlineLevel="0" collapsed="false">
      <c r="A177" s="44"/>
      <c r="B177" s="45"/>
      <c r="C177" s="44"/>
      <c r="D177" s="44"/>
      <c r="E177" s="44"/>
      <c r="F177" s="44"/>
      <c r="G177" s="44"/>
      <c r="H177" s="44"/>
      <c r="I177" s="44"/>
      <c r="J177" s="44"/>
      <c r="K177" s="44"/>
      <c r="L177" s="46"/>
      <c r="M177" s="47"/>
      <c r="N177" s="47"/>
      <c r="O177" s="47"/>
      <c r="P177" s="47"/>
      <c r="Q177" s="47"/>
      <c r="R177" s="48"/>
      <c r="S177" s="49" t="str">
        <f aca="false">IF(E177="","",IFERROR(VLOOKUP(E177,Lists!$A$5:$C$8,2,FALSE()),""))</f>
        <v/>
      </c>
      <c r="T177" s="49" t="str">
        <f aca="false">IF(E177="","",IFERROR(VLOOKUP(E177,Lists!$A$5:$C$8,3,FALSE()),""))</f>
        <v/>
      </c>
      <c r="U177" s="50"/>
      <c r="V177" s="50"/>
      <c r="W177" s="51" t="str">
        <f aca="false">IF(OR(M177="",Q177="",R177="",S177="",T177=""),"",IF(H177="Long",(Q177-M177)/S177*T177*R177,IF(H177="Short",(M177-Q177)/S177*T177*R177,"")))</f>
        <v/>
      </c>
      <c r="X177" s="51" t="str">
        <f aca="false">IF(W177="","",W177-U177-V177)</f>
        <v/>
      </c>
      <c r="Y177" s="51" t="str">
        <f aca="false">IF(OR(M177="",N177="",R177="",S177="",T177=""),"",ABS(M177-N177)/S177*T177*R177+U177+V177)</f>
        <v/>
      </c>
      <c r="Z177" s="52" t="str">
        <f aca="false">IF(OR(X177="",Y177="",Y177=0),"",X177/Y177)</f>
        <v/>
      </c>
      <c r="AA177" s="50"/>
      <c r="AB177" s="50"/>
      <c r="AC177" s="44"/>
      <c r="AD177" s="44"/>
      <c r="AE177" s="44"/>
      <c r="AF177" s="44"/>
      <c r="AG177" s="44"/>
      <c r="AH177" s="44"/>
      <c r="AI177" s="44"/>
      <c r="AJ177" s="52" t="str">
        <f aca="false">IF(B177="","",SUM($Z$6:Z177))</f>
        <v/>
      </c>
      <c r="AK177" s="52" t="str">
        <f aca="false">IF(AJ177="","",MAX($AJ$6:AJ177))</f>
        <v/>
      </c>
      <c r="AL177" s="52" t="str">
        <f aca="false">IF(AJ177="","",AJ177-AK177)</f>
        <v/>
      </c>
    </row>
    <row r="178" customFormat="false" ht="15" hidden="false" customHeight="false" outlineLevel="0" collapsed="false">
      <c r="A178" s="44"/>
      <c r="B178" s="45"/>
      <c r="C178" s="44"/>
      <c r="D178" s="44"/>
      <c r="E178" s="44"/>
      <c r="F178" s="44"/>
      <c r="G178" s="44"/>
      <c r="H178" s="44"/>
      <c r="I178" s="44"/>
      <c r="J178" s="44"/>
      <c r="K178" s="44"/>
      <c r="L178" s="46"/>
      <c r="M178" s="47"/>
      <c r="N178" s="47"/>
      <c r="O178" s="47"/>
      <c r="P178" s="47"/>
      <c r="Q178" s="47"/>
      <c r="R178" s="48"/>
      <c r="S178" s="49" t="str">
        <f aca="false">IF(E178="","",IFERROR(VLOOKUP(E178,Lists!$A$5:$C$8,2,FALSE()),""))</f>
        <v/>
      </c>
      <c r="T178" s="49" t="str">
        <f aca="false">IF(E178="","",IFERROR(VLOOKUP(E178,Lists!$A$5:$C$8,3,FALSE()),""))</f>
        <v/>
      </c>
      <c r="U178" s="50"/>
      <c r="V178" s="50"/>
      <c r="W178" s="51" t="str">
        <f aca="false">IF(OR(M178="",Q178="",R178="",S178="",T178=""),"",IF(H178="Long",(Q178-M178)/S178*T178*R178,IF(H178="Short",(M178-Q178)/S178*T178*R178,"")))</f>
        <v/>
      </c>
      <c r="X178" s="51" t="str">
        <f aca="false">IF(W178="","",W178-U178-V178)</f>
        <v/>
      </c>
      <c r="Y178" s="51" t="str">
        <f aca="false">IF(OR(M178="",N178="",R178="",S178="",T178=""),"",ABS(M178-N178)/S178*T178*R178+U178+V178)</f>
        <v/>
      </c>
      <c r="Z178" s="52" t="str">
        <f aca="false">IF(OR(X178="",Y178="",Y178=0),"",X178/Y178)</f>
        <v/>
      </c>
      <c r="AA178" s="50"/>
      <c r="AB178" s="50"/>
      <c r="AC178" s="44"/>
      <c r="AD178" s="44"/>
      <c r="AE178" s="44"/>
      <c r="AF178" s="44"/>
      <c r="AG178" s="44"/>
      <c r="AH178" s="44"/>
      <c r="AI178" s="44"/>
      <c r="AJ178" s="52" t="str">
        <f aca="false">IF(B178="","",SUM($Z$6:Z178))</f>
        <v/>
      </c>
      <c r="AK178" s="52" t="str">
        <f aca="false">IF(AJ178="","",MAX($AJ$6:AJ178))</f>
        <v/>
      </c>
      <c r="AL178" s="52" t="str">
        <f aca="false">IF(AJ178="","",AJ178-AK178)</f>
        <v/>
      </c>
    </row>
    <row r="179" customFormat="false" ht="15" hidden="false" customHeight="false" outlineLevel="0" collapsed="false">
      <c r="A179" s="44"/>
      <c r="B179" s="45"/>
      <c r="C179" s="44"/>
      <c r="D179" s="44"/>
      <c r="E179" s="44"/>
      <c r="F179" s="44"/>
      <c r="G179" s="44"/>
      <c r="H179" s="44"/>
      <c r="I179" s="44"/>
      <c r="J179" s="44"/>
      <c r="K179" s="44"/>
      <c r="L179" s="46"/>
      <c r="M179" s="47"/>
      <c r="N179" s="47"/>
      <c r="O179" s="47"/>
      <c r="P179" s="47"/>
      <c r="Q179" s="47"/>
      <c r="R179" s="48"/>
      <c r="S179" s="49" t="str">
        <f aca="false">IF(E179="","",IFERROR(VLOOKUP(E179,Lists!$A$5:$C$8,2,FALSE()),""))</f>
        <v/>
      </c>
      <c r="T179" s="49" t="str">
        <f aca="false">IF(E179="","",IFERROR(VLOOKUP(E179,Lists!$A$5:$C$8,3,FALSE()),""))</f>
        <v/>
      </c>
      <c r="U179" s="50"/>
      <c r="V179" s="50"/>
      <c r="W179" s="51" t="str">
        <f aca="false">IF(OR(M179="",Q179="",R179="",S179="",T179=""),"",IF(H179="Long",(Q179-M179)/S179*T179*R179,IF(H179="Short",(M179-Q179)/S179*T179*R179,"")))</f>
        <v/>
      </c>
      <c r="X179" s="51" t="str">
        <f aca="false">IF(W179="","",W179-U179-V179)</f>
        <v/>
      </c>
      <c r="Y179" s="51" t="str">
        <f aca="false">IF(OR(M179="",N179="",R179="",S179="",T179=""),"",ABS(M179-N179)/S179*T179*R179+U179+V179)</f>
        <v/>
      </c>
      <c r="Z179" s="52" t="str">
        <f aca="false">IF(OR(X179="",Y179="",Y179=0),"",X179/Y179)</f>
        <v/>
      </c>
      <c r="AA179" s="50"/>
      <c r="AB179" s="50"/>
      <c r="AC179" s="44"/>
      <c r="AD179" s="44"/>
      <c r="AE179" s="44"/>
      <c r="AF179" s="44"/>
      <c r="AG179" s="44"/>
      <c r="AH179" s="44"/>
      <c r="AI179" s="44"/>
      <c r="AJ179" s="52" t="str">
        <f aca="false">IF(B179="","",SUM($Z$6:Z179))</f>
        <v/>
      </c>
      <c r="AK179" s="52" t="str">
        <f aca="false">IF(AJ179="","",MAX($AJ$6:AJ179))</f>
        <v/>
      </c>
      <c r="AL179" s="52" t="str">
        <f aca="false">IF(AJ179="","",AJ179-AK179)</f>
        <v/>
      </c>
    </row>
    <row r="180" customFormat="false" ht="15" hidden="false" customHeight="false" outlineLevel="0" collapsed="false">
      <c r="A180" s="44"/>
      <c r="B180" s="45"/>
      <c r="C180" s="44"/>
      <c r="D180" s="44"/>
      <c r="E180" s="44"/>
      <c r="F180" s="44"/>
      <c r="G180" s="44"/>
      <c r="H180" s="44"/>
      <c r="I180" s="44"/>
      <c r="J180" s="44"/>
      <c r="K180" s="44"/>
      <c r="L180" s="46"/>
      <c r="M180" s="47"/>
      <c r="N180" s="47"/>
      <c r="O180" s="47"/>
      <c r="P180" s="47"/>
      <c r="Q180" s="47"/>
      <c r="R180" s="48"/>
      <c r="S180" s="49" t="str">
        <f aca="false">IF(E180="","",IFERROR(VLOOKUP(E180,Lists!$A$5:$C$8,2,FALSE()),""))</f>
        <v/>
      </c>
      <c r="T180" s="49" t="str">
        <f aca="false">IF(E180="","",IFERROR(VLOOKUP(E180,Lists!$A$5:$C$8,3,FALSE()),""))</f>
        <v/>
      </c>
      <c r="U180" s="50"/>
      <c r="V180" s="50"/>
      <c r="W180" s="51" t="str">
        <f aca="false">IF(OR(M180="",Q180="",R180="",S180="",T180=""),"",IF(H180="Long",(Q180-M180)/S180*T180*R180,IF(H180="Short",(M180-Q180)/S180*T180*R180,"")))</f>
        <v/>
      </c>
      <c r="X180" s="51" t="str">
        <f aca="false">IF(W180="","",W180-U180-V180)</f>
        <v/>
      </c>
      <c r="Y180" s="51" t="str">
        <f aca="false">IF(OR(M180="",N180="",R180="",S180="",T180=""),"",ABS(M180-N180)/S180*T180*R180+U180+V180)</f>
        <v/>
      </c>
      <c r="Z180" s="52" t="str">
        <f aca="false">IF(OR(X180="",Y180="",Y180=0),"",X180/Y180)</f>
        <v/>
      </c>
      <c r="AA180" s="50"/>
      <c r="AB180" s="50"/>
      <c r="AC180" s="44"/>
      <c r="AD180" s="44"/>
      <c r="AE180" s="44"/>
      <c r="AF180" s="44"/>
      <c r="AG180" s="44"/>
      <c r="AH180" s="44"/>
      <c r="AI180" s="44"/>
      <c r="AJ180" s="52" t="str">
        <f aca="false">IF(B180="","",SUM($Z$6:Z180))</f>
        <v/>
      </c>
      <c r="AK180" s="52" t="str">
        <f aca="false">IF(AJ180="","",MAX($AJ$6:AJ180))</f>
        <v/>
      </c>
      <c r="AL180" s="52" t="str">
        <f aca="false">IF(AJ180="","",AJ180-AK180)</f>
        <v/>
      </c>
    </row>
    <row r="181" customFormat="false" ht="15" hidden="false" customHeight="false" outlineLevel="0" collapsed="false">
      <c r="A181" s="44"/>
      <c r="B181" s="45"/>
      <c r="C181" s="44"/>
      <c r="D181" s="44"/>
      <c r="E181" s="44"/>
      <c r="F181" s="44"/>
      <c r="G181" s="44"/>
      <c r="H181" s="44"/>
      <c r="I181" s="44"/>
      <c r="J181" s="44"/>
      <c r="K181" s="44"/>
      <c r="L181" s="46"/>
      <c r="M181" s="47"/>
      <c r="N181" s="47"/>
      <c r="O181" s="47"/>
      <c r="P181" s="47"/>
      <c r="Q181" s="47"/>
      <c r="R181" s="48"/>
      <c r="S181" s="49" t="str">
        <f aca="false">IF(E181="","",IFERROR(VLOOKUP(E181,Lists!$A$5:$C$8,2,FALSE()),""))</f>
        <v/>
      </c>
      <c r="T181" s="49" t="str">
        <f aca="false">IF(E181="","",IFERROR(VLOOKUP(E181,Lists!$A$5:$C$8,3,FALSE()),""))</f>
        <v/>
      </c>
      <c r="U181" s="50"/>
      <c r="V181" s="50"/>
      <c r="W181" s="51" t="str">
        <f aca="false">IF(OR(M181="",Q181="",R181="",S181="",T181=""),"",IF(H181="Long",(Q181-M181)/S181*T181*R181,IF(H181="Short",(M181-Q181)/S181*T181*R181,"")))</f>
        <v/>
      </c>
      <c r="X181" s="51" t="str">
        <f aca="false">IF(W181="","",W181-U181-V181)</f>
        <v/>
      </c>
      <c r="Y181" s="51" t="str">
        <f aca="false">IF(OR(M181="",N181="",R181="",S181="",T181=""),"",ABS(M181-N181)/S181*T181*R181+U181+V181)</f>
        <v/>
      </c>
      <c r="Z181" s="52" t="str">
        <f aca="false">IF(OR(X181="",Y181="",Y181=0),"",X181/Y181)</f>
        <v/>
      </c>
      <c r="AA181" s="50"/>
      <c r="AB181" s="50"/>
      <c r="AC181" s="44"/>
      <c r="AD181" s="44"/>
      <c r="AE181" s="44"/>
      <c r="AF181" s="44"/>
      <c r="AG181" s="44"/>
      <c r="AH181" s="44"/>
      <c r="AI181" s="44"/>
      <c r="AJ181" s="52" t="str">
        <f aca="false">IF(B181="","",SUM($Z$6:Z181))</f>
        <v/>
      </c>
      <c r="AK181" s="52" t="str">
        <f aca="false">IF(AJ181="","",MAX($AJ$6:AJ181))</f>
        <v/>
      </c>
      <c r="AL181" s="52" t="str">
        <f aca="false">IF(AJ181="","",AJ181-AK181)</f>
        <v/>
      </c>
    </row>
    <row r="182" customFormat="false" ht="15" hidden="false" customHeight="false" outlineLevel="0" collapsed="false">
      <c r="A182" s="44"/>
      <c r="B182" s="45"/>
      <c r="C182" s="44"/>
      <c r="D182" s="44"/>
      <c r="E182" s="44"/>
      <c r="F182" s="44"/>
      <c r="G182" s="44"/>
      <c r="H182" s="44"/>
      <c r="I182" s="44"/>
      <c r="J182" s="44"/>
      <c r="K182" s="44"/>
      <c r="L182" s="46"/>
      <c r="M182" s="47"/>
      <c r="N182" s="47"/>
      <c r="O182" s="47"/>
      <c r="P182" s="47"/>
      <c r="Q182" s="47"/>
      <c r="R182" s="48"/>
      <c r="S182" s="49" t="str">
        <f aca="false">IF(E182="","",IFERROR(VLOOKUP(E182,Lists!$A$5:$C$8,2,FALSE()),""))</f>
        <v/>
      </c>
      <c r="T182" s="49" t="str">
        <f aca="false">IF(E182="","",IFERROR(VLOOKUP(E182,Lists!$A$5:$C$8,3,FALSE()),""))</f>
        <v/>
      </c>
      <c r="U182" s="50"/>
      <c r="V182" s="50"/>
      <c r="W182" s="51" t="str">
        <f aca="false">IF(OR(M182="",Q182="",R182="",S182="",T182=""),"",IF(H182="Long",(Q182-M182)/S182*T182*R182,IF(H182="Short",(M182-Q182)/S182*T182*R182,"")))</f>
        <v/>
      </c>
      <c r="X182" s="51" t="str">
        <f aca="false">IF(W182="","",W182-U182-V182)</f>
        <v/>
      </c>
      <c r="Y182" s="51" t="str">
        <f aca="false">IF(OR(M182="",N182="",R182="",S182="",T182=""),"",ABS(M182-N182)/S182*T182*R182+U182+V182)</f>
        <v/>
      </c>
      <c r="Z182" s="52" t="str">
        <f aca="false">IF(OR(X182="",Y182="",Y182=0),"",X182/Y182)</f>
        <v/>
      </c>
      <c r="AA182" s="50"/>
      <c r="AB182" s="50"/>
      <c r="AC182" s="44"/>
      <c r="AD182" s="44"/>
      <c r="AE182" s="44"/>
      <c r="AF182" s="44"/>
      <c r="AG182" s="44"/>
      <c r="AH182" s="44"/>
      <c r="AI182" s="44"/>
      <c r="AJ182" s="52" t="str">
        <f aca="false">IF(B182="","",SUM($Z$6:Z182))</f>
        <v/>
      </c>
      <c r="AK182" s="52" t="str">
        <f aca="false">IF(AJ182="","",MAX($AJ$6:AJ182))</f>
        <v/>
      </c>
      <c r="AL182" s="52" t="str">
        <f aca="false">IF(AJ182="","",AJ182-AK182)</f>
        <v/>
      </c>
    </row>
    <row r="183" customFormat="false" ht="15" hidden="false" customHeight="false" outlineLevel="0" collapsed="false">
      <c r="A183" s="44"/>
      <c r="B183" s="45"/>
      <c r="C183" s="44"/>
      <c r="D183" s="44"/>
      <c r="E183" s="44"/>
      <c r="F183" s="44"/>
      <c r="G183" s="44"/>
      <c r="H183" s="44"/>
      <c r="I183" s="44"/>
      <c r="J183" s="44"/>
      <c r="K183" s="44"/>
      <c r="L183" s="46"/>
      <c r="M183" s="47"/>
      <c r="N183" s="47"/>
      <c r="O183" s="47"/>
      <c r="P183" s="47"/>
      <c r="Q183" s="47"/>
      <c r="R183" s="48"/>
      <c r="S183" s="49" t="str">
        <f aca="false">IF(E183="","",IFERROR(VLOOKUP(E183,Lists!$A$5:$C$8,2,FALSE()),""))</f>
        <v/>
      </c>
      <c r="T183" s="49" t="str">
        <f aca="false">IF(E183="","",IFERROR(VLOOKUP(E183,Lists!$A$5:$C$8,3,FALSE()),""))</f>
        <v/>
      </c>
      <c r="U183" s="50"/>
      <c r="V183" s="50"/>
      <c r="W183" s="51" t="str">
        <f aca="false">IF(OR(M183="",Q183="",R183="",S183="",T183=""),"",IF(H183="Long",(Q183-M183)/S183*T183*R183,IF(H183="Short",(M183-Q183)/S183*T183*R183,"")))</f>
        <v/>
      </c>
      <c r="X183" s="51" t="str">
        <f aca="false">IF(W183="","",W183-U183-V183)</f>
        <v/>
      </c>
      <c r="Y183" s="51" t="str">
        <f aca="false">IF(OR(M183="",N183="",R183="",S183="",T183=""),"",ABS(M183-N183)/S183*T183*R183+U183+V183)</f>
        <v/>
      </c>
      <c r="Z183" s="52" t="str">
        <f aca="false">IF(OR(X183="",Y183="",Y183=0),"",X183/Y183)</f>
        <v/>
      </c>
      <c r="AA183" s="50"/>
      <c r="AB183" s="50"/>
      <c r="AC183" s="44"/>
      <c r="AD183" s="44"/>
      <c r="AE183" s="44"/>
      <c r="AF183" s="44"/>
      <c r="AG183" s="44"/>
      <c r="AH183" s="44"/>
      <c r="AI183" s="44"/>
      <c r="AJ183" s="52" t="str">
        <f aca="false">IF(B183="","",SUM($Z$6:Z183))</f>
        <v/>
      </c>
      <c r="AK183" s="52" t="str">
        <f aca="false">IF(AJ183="","",MAX($AJ$6:AJ183))</f>
        <v/>
      </c>
      <c r="AL183" s="52" t="str">
        <f aca="false">IF(AJ183="","",AJ183-AK183)</f>
        <v/>
      </c>
    </row>
    <row r="184" customFormat="false" ht="15" hidden="false" customHeight="false" outlineLevel="0" collapsed="false">
      <c r="A184" s="44"/>
      <c r="B184" s="45"/>
      <c r="C184" s="44"/>
      <c r="D184" s="44"/>
      <c r="E184" s="44"/>
      <c r="F184" s="44"/>
      <c r="G184" s="44"/>
      <c r="H184" s="44"/>
      <c r="I184" s="44"/>
      <c r="J184" s="44"/>
      <c r="K184" s="44"/>
      <c r="L184" s="46"/>
      <c r="M184" s="47"/>
      <c r="N184" s="47"/>
      <c r="O184" s="47"/>
      <c r="P184" s="47"/>
      <c r="Q184" s="47"/>
      <c r="R184" s="48"/>
      <c r="S184" s="49" t="str">
        <f aca="false">IF(E184="","",IFERROR(VLOOKUP(E184,Lists!$A$5:$C$8,2,FALSE()),""))</f>
        <v/>
      </c>
      <c r="T184" s="49" t="str">
        <f aca="false">IF(E184="","",IFERROR(VLOOKUP(E184,Lists!$A$5:$C$8,3,FALSE()),""))</f>
        <v/>
      </c>
      <c r="U184" s="50"/>
      <c r="V184" s="50"/>
      <c r="W184" s="51" t="str">
        <f aca="false">IF(OR(M184="",Q184="",R184="",S184="",T184=""),"",IF(H184="Long",(Q184-M184)/S184*T184*R184,IF(H184="Short",(M184-Q184)/S184*T184*R184,"")))</f>
        <v/>
      </c>
      <c r="X184" s="51" t="str">
        <f aca="false">IF(W184="","",W184-U184-V184)</f>
        <v/>
      </c>
      <c r="Y184" s="51" t="str">
        <f aca="false">IF(OR(M184="",N184="",R184="",S184="",T184=""),"",ABS(M184-N184)/S184*T184*R184+U184+V184)</f>
        <v/>
      </c>
      <c r="Z184" s="52" t="str">
        <f aca="false">IF(OR(X184="",Y184="",Y184=0),"",X184/Y184)</f>
        <v/>
      </c>
      <c r="AA184" s="50"/>
      <c r="AB184" s="50"/>
      <c r="AC184" s="44"/>
      <c r="AD184" s="44"/>
      <c r="AE184" s="44"/>
      <c r="AF184" s="44"/>
      <c r="AG184" s="44"/>
      <c r="AH184" s="44"/>
      <c r="AI184" s="44"/>
      <c r="AJ184" s="52" t="str">
        <f aca="false">IF(B184="","",SUM($Z$6:Z184))</f>
        <v/>
      </c>
      <c r="AK184" s="52" t="str">
        <f aca="false">IF(AJ184="","",MAX($AJ$6:AJ184))</f>
        <v/>
      </c>
      <c r="AL184" s="52" t="str">
        <f aca="false">IF(AJ184="","",AJ184-AK184)</f>
        <v/>
      </c>
    </row>
    <row r="185" customFormat="false" ht="15" hidden="false" customHeight="false" outlineLevel="0" collapsed="false">
      <c r="A185" s="44"/>
      <c r="B185" s="45"/>
      <c r="C185" s="44"/>
      <c r="D185" s="44"/>
      <c r="E185" s="44"/>
      <c r="F185" s="44"/>
      <c r="G185" s="44"/>
      <c r="H185" s="44"/>
      <c r="I185" s="44"/>
      <c r="J185" s="44"/>
      <c r="K185" s="44"/>
      <c r="L185" s="46"/>
      <c r="M185" s="47"/>
      <c r="N185" s="47"/>
      <c r="O185" s="47"/>
      <c r="P185" s="47"/>
      <c r="Q185" s="47"/>
      <c r="R185" s="48"/>
      <c r="S185" s="49" t="str">
        <f aca="false">IF(E185="","",IFERROR(VLOOKUP(E185,Lists!$A$5:$C$8,2,FALSE()),""))</f>
        <v/>
      </c>
      <c r="T185" s="49" t="str">
        <f aca="false">IF(E185="","",IFERROR(VLOOKUP(E185,Lists!$A$5:$C$8,3,FALSE()),""))</f>
        <v/>
      </c>
      <c r="U185" s="50"/>
      <c r="V185" s="50"/>
      <c r="W185" s="51" t="str">
        <f aca="false">IF(OR(M185="",Q185="",R185="",S185="",T185=""),"",IF(H185="Long",(Q185-M185)/S185*T185*R185,IF(H185="Short",(M185-Q185)/S185*T185*R185,"")))</f>
        <v/>
      </c>
      <c r="X185" s="51" t="str">
        <f aca="false">IF(W185="","",W185-U185-V185)</f>
        <v/>
      </c>
      <c r="Y185" s="51" t="str">
        <f aca="false">IF(OR(M185="",N185="",R185="",S185="",T185=""),"",ABS(M185-N185)/S185*T185*R185+U185+V185)</f>
        <v/>
      </c>
      <c r="Z185" s="52" t="str">
        <f aca="false">IF(OR(X185="",Y185="",Y185=0),"",X185/Y185)</f>
        <v/>
      </c>
      <c r="AA185" s="50"/>
      <c r="AB185" s="50"/>
      <c r="AC185" s="44"/>
      <c r="AD185" s="44"/>
      <c r="AE185" s="44"/>
      <c r="AF185" s="44"/>
      <c r="AG185" s="44"/>
      <c r="AH185" s="44"/>
      <c r="AI185" s="44"/>
      <c r="AJ185" s="52" t="str">
        <f aca="false">IF(B185="","",SUM($Z$6:Z185))</f>
        <v/>
      </c>
      <c r="AK185" s="52" t="str">
        <f aca="false">IF(AJ185="","",MAX($AJ$6:AJ185))</f>
        <v/>
      </c>
      <c r="AL185" s="52" t="str">
        <f aca="false">IF(AJ185="","",AJ185-AK185)</f>
        <v/>
      </c>
    </row>
    <row r="186" customFormat="false" ht="15" hidden="false" customHeight="false" outlineLevel="0" collapsed="false">
      <c r="A186" s="44"/>
      <c r="B186" s="45"/>
      <c r="C186" s="44"/>
      <c r="D186" s="44"/>
      <c r="E186" s="44"/>
      <c r="F186" s="44"/>
      <c r="G186" s="44"/>
      <c r="H186" s="44"/>
      <c r="I186" s="44"/>
      <c r="J186" s="44"/>
      <c r="K186" s="44"/>
      <c r="L186" s="46"/>
      <c r="M186" s="47"/>
      <c r="N186" s="47"/>
      <c r="O186" s="47"/>
      <c r="P186" s="47"/>
      <c r="Q186" s="47"/>
      <c r="R186" s="48"/>
      <c r="S186" s="49" t="str">
        <f aca="false">IF(E186="","",IFERROR(VLOOKUP(E186,Lists!$A$5:$C$8,2,FALSE()),""))</f>
        <v/>
      </c>
      <c r="T186" s="49" t="str">
        <f aca="false">IF(E186="","",IFERROR(VLOOKUP(E186,Lists!$A$5:$C$8,3,FALSE()),""))</f>
        <v/>
      </c>
      <c r="U186" s="50"/>
      <c r="V186" s="50"/>
      <c r="W186" s="51" t="str">
        <f aca="false">IF(OR(M186="",Q186="",R186="",S186="",T186=""),"",IF(H186="Long",(Q186-M186)/S186*T186*R186,IF(H186="Short",(M186-Q186)/S186*T186*R186,"")))</f>
        <v/>
      </c>
      <c r="X186" s="51" t="str">
        <f aca="false">IF(W186="","",W186-U186-V186)</f>
        <v/>
      </c>
      <c r="Y186" s="51" t="str">
        <f aca="false">IF(OR(M186="",N186="",R186="",S186="",T186=""),"",ABS(M186-N186)/S186*T186*R186+U186+V186)</f>
        <v/>
      </c>
      <c r="Z186" s="52" t="str">
        <f aca="false">IF(OR(X186="",Y186="",Y186=0),"",X186/Y186)</f>
        <v/>
      </c>
      <c r="AA186" s="50"/>
      <c r="AB186" s="50"/>
      <c r="AC186" s="44"/>
      <c r="AD186" s="44"/>
      <c r="AE186" s="44"/>
      <c r="AF186" s="44"/>
      <c r="AG186" s="44"/>
      <c r="AH186" s="44"/>
      <c r="AI186" s="44"/>
      <c r="AJ186" s="52" t="str">
        <f aca="false">IF(B186="","",SUM($Z$6:Z186))</f>
        <v/>
      </c>
      <c r="AK186" s="52" t="str">
        <f aca="false">IF(AJ186="","",MAX($AJ$6:AJ186))</f>
        <v/>
      </c>
      <c r="AL186" s="52" t="str">
        <f aca="false">IF(AJ186="","",AJ186-AK186)</f>
        <v/>
      </c>
    </row>
    <row r="187" customFormat="false" ht="15" hidden="false" customHeight="false" outlineLevel="0" collapsed="false">
      <c r="A187" s="44"/>
      <c r="B187" s="45"/>
      <c r="C187" s="44"/>
      <c r="D187" s="44"/>
      <c r="E187" s="44"/>
      <c r="F187" s="44"/>
      <c r="G187" s="44"/>
      <c r="H187" s="44"/>
      <c r="I187" s="44"/>
      <c r="J187" s="44"/>
      <c r="K187" s="44"/>
      <c r="L187" s="46"/>
      <c r="M187" s="47"/>
      <c r="N187" s="47"/>
      <c r="O187" s="47"/>
      <c r="P187" s="47"/>
      <c r="Q187" s="47"/>
      <c r="R187" s="48"/>
      <c r="S187" s="49" t="str">
        <f aca="false">IF(E187="","",IFERROR(VLOOKUP(E187,Lists!$A$5:$C$8,2,FALSE()),""))</f>
        <v/>
      </c>
      <c r="T187" s="49" t="str">
        <f aca="false">IF(E187="","",IFERROR(VLOOKUP(E187,Lists!$A$5:$C$8,3,FALSE()),""))</f>
        <v/>
      </c>
      <c r="U187" s="50"/>
      <c r="V187" s="50"/>
      <c r="W187" s="51" t="str">
        <f aca="false">IF(OR(M187="",Q187="",R187="",S187="",T187=""),"",IF(H187="Long",(Q187-M187)/S187*T187*R187,IF(H187="Short",(M187-Q187)/S187*T187*R187,"")))</f>
        <v/>
      </c>
      <c r="X187" s="51" t="str">
        <f aca="false">IF(W187="","",W187-U187-V187)</f>
        <v/>
      </c>
      <c r="Y187" s="51" t="str">
        <f aca="false">IF(OR(M187="",N187="",R187="",S187="",T187=""),"",ABS(M187-N187)/S187*T187*R187+U187+V187)</f>
        <v/>
      </c>
      <c r="Z187" s="52" t="str">
        <f aca="false">IF(OR(X187="",Y187="",Y187=0),"",X187/Y187)</f>
        <v/>
      </c>
      <c r="AA187" s="50"/>
      <c r="AB187" s="50"/>
      <c r="AC187" s="44"/>
      <c r="AD187" s="44"/>
      <c r="AE187" s="44"/>
      <c r="AF187" s="44"/>
      <c r="AG187" s="44"/>
      <c r="AH187" s="44"/>
      <c r="AI187" s="44"/>
      <c r="AJ187" s="52" t="str">
        <f aca="false">IF(B187="","",SUM($Z$6:Z187))</f>
        <v/>
      </c>
      <c r="AK187" s="52" t="str">
        <f aca="false">IF(AJ187="","",MAX($AJ$6:AJ187))</f>
        <v/>
      </c>
      <c r="AL187" s="52" t="str">
        <f aca="false">IF(AJ187="","",AJ187-AK187)</f>
        <v/>
      </c>
    </row>
    <row r="188" customFormat="false" ht="15" hidden="false" customHeight="false" outlineLevel="0" collapsed="false">
      <c r="A188" s="44"/>
      <c r="B188" s="45"/>
      <c r="C188" s="44"/>
      <c r="D188" s="44"/>
      <c r="E188" s="44"/>
      <c r="F188" s="44"/>
      <c r="G188" s="44"/>
      <c r="H188" s="44"/>
      <c r="I188" s="44"/>
      <c r="J188" s="44"/>
      <c r="K188" s="44"/>
      <c r="L188" s="46"/>
      <c r="M188" s="47"/>
      <c r="N188" s="47"/>
      <c r="O188" s="47"/>
      <c r="P188" s="47"/>
      <c r="Q188" s="47"/>
      <c r="R188" s="48"/>
      <c r="S188" s="49" t="str">
        <f aca="false">IF(E188="","",IFERROR(VLOOKUP(E188,Lists!$A$5:$C$8,2,FALSE()),""))</f>
        <v/>
      </c>
      <c r="T188" s="49" t="str">
        <f aca="false">IF(E188="","",IFERROR(VLOOKUP(E188,Lists!$A$5:$C$8,3,FALSE()),""))</f>
        <v/>
      </c>
      <c r="U188" s="50"/>
      <c r="V188" s="50"/>
      <c r="W188" s="51" t="str">
        <f aca="false">IF(OR(M188="",Q188="",R188="",S188="",T188=""),"",IF(H188="Long",(Q188-M188)/S188*T188*R188,IF(H188="Short",(M188-Q188)/S188*T188*R188,"")))</f>
        <v/>
      </c>
      <c r="X188" s="51" t="str">
        <f aca="false">IF(W188="","",W188-U188-V188)</f>
        <v/>
      </c>
      <c r="Y188" s="51" t="str">
        <f aca="false">IF(OR(M188="",N188="",R188="",S188="",T188=""),"",ABS(M188-N188)/S188*T188*R188+U188+V188)</f>
        <v/>
      </c>
      <c r="Z188" s="52" t="str">
        <f aca="false">IF(OR(X188="",Y188="",Y188=0),"",X188/Y188)</f>
        <v/>
      </c>
      <c r="AA188" s="50"/>
      <c r="AB188" s="50"/>
      <c r="AC188" s="44"/>
      <c r="AD188" s="44"/>
      <c r="AE188" s="44"/>
      <c r="AF188" s="44"/>
      <c r="AG188" s="44"/>
      <c r="AH188" s="44"/>
      <c r="AI188" s="44"/>
      <c r="AJ188" s="52" t="str">
        <f aca="false">IF(B188="","",SUM($Z$6:Z188))</f>
        <v/>
      </c>
      <c r="AK188" s="52" t="str">
        <f aca="false">IF(AJ188="","",MAX($AJ$6:AJ188))</f>
        <v/>
      </c>
      <c r="AL188" s="52" t="str">
        <f aca="false">IF(AJ188="","",AJ188-AK188)</f>
        <v/>
      </c>
    </row>
    <row r="189" customFormat="false" ht="15" hidden="false" customHeight="false" outlineLevel="0" collapsed="false">
      <c r="A189" s="44"/>
      <c r="B189" s="45"/>
      <c r="C189" s="44"/>
      <c r="D189" s="44"/>
      <c r="E189" s="44"/>
      <c r="F189" s="44"/>
      <c r="G189" s="44"/>
      <c r="H189" s="44"/>
      <c r="I189" s="44"/>
      <c r="J189" s="44"/>
      <c r="K189" s="44"/>
      <c r="L189" s="46"/>
      <c r="M189" s="47"/>
      <c r="N189" s="47"/>
      <c r="O189" s="47"/>
      <c r="P189" s="47"/>
      <c r="Q189" s="47"/>
      <c r="R189" s="48"/>
      <c r="S189" s="49" t="str">
        <f aca="false">IF(E189="","",IFERROR(VLOOKUP(E189,Lists!$A$5:$C$8,2,FALSE()),""))</f>
        <v/>
      </c>
      <c r="T189" s="49" t="str">
        <f aca="false">IF(E189="","",IFERROR(VLOOKUP(E189,Lists!$A$5:$C$8,3,FALSE()),""))</f>
        <v/>
      </c>
      <c r="U189" s="50"/>
      <c r="V189" s="50"/>
      <c r="W189" s="51" t="str">
        <f aca="false">IF(OR(M189="",Q189="",R189="",S189="",T189=""),"",IF(H189="Long",(Q189-M189)/S189*T189*R189,IF(H189="Short",(M189-Q189)/S189*T189*R189,"")))</f>
        <v/>
      </c>
      <c r="X189" s="51" t="str">
        <f aca="false">IF(W189="","",W189-U189-V189)</f>
        <v/>
      </c>
      <c r="Y189" s="51" t="str">
        <f aca="false">IF(OR(M189="",N189="",R189="",S189="",T189=""),"",ABS(M189-N189)/S189*T189*R189+U189+V189)</f>
        <v/>
      </c>
      <c r="Z189" s="52" t="str">
        <f aca="false">IF(OR(X189="",Y189="",Y189=0),"",X189/Y189)</f>
        <v/>
      </c>
      <c r="AA189" s="50"/>
      <c r="AB189" s="50"/>
      <c r="AC189" s="44"/>
      <c r="AD189" s="44"/>
      <c r="AE189" s="44"/>
      <c r="AF189" s="44"/>
      <c r="AG189" s="44"/>
      <c r="AH189" s="44"/>
      <c r="AI189" s="44"/>
      <c r="AJ189" s="52" t="str">
        <f aca="false">IF(B189="","",SUM($Z$6:Z189))</f>
        <v/>
      </c>
      <c r="AK189" s="52" t="str">
        <f aca="false">IF(AJ189="","",MAX($AJ$6:AJ189))</f>
        <v/>
      </c>
      <c r="AL189" s="52" t="str">
        <f aca="false">IF(AJ189="","",AJ189-AK189)</f>
        <v/>
      </c>
    </row>
    <row r="190" customFormat="false" ht="15" hidden="false" customHeight="false" outlineLevel="0" collapsed="false">
      <c r="A190" s="44"/>
      <c r="B190" s="45"/>
      <c r="C190" s="44"/>
      <c r="D190" s="44"/>
      <c r="E190" s="44"/>
      <c r="F190" s="44"/>
      <c r="G190" s="44"/>
      <c r="H190" s="44"/>
      <c r="I190" s="44"/>
      <c r="J190" s="44"/>
      <c r="K190" s="44"/>
      <c r="L190" s="46"/>
      <c r="M190" s="47"/>
      <c r="N190" s="47"/>
      <c r="O190" s="47"/>
      <c r="P190" s="47"/>
      <c r="Q190" s="47"/>
      <c r="R190" s="48"/>
      <c r="S190" s="49" t="str">
        <f aca="false">IF(E190="","",IFERROR(VLOOKUP(E190,Lists!$A$5:$C$8,2,FALSE()),""))</f>
        <v/>
      </c>
      <c r="T190" s="49" t="str">
        <f aca="false">IF(E190="","",IFERROR(VLOOKUP(E190,Lists!$A$5:$C$8,3,FALSE()),""))</f>
        <v/>
      </c>
      <c r="U190" s="50"/>
      <c r="V190" s="50"/>
      <c r="W190" s="51" t="str">
        <f aca="false">IF(OR(M190="",Q190="",R190="",S190="",T190=""),"",IF(H190="Long",(Q190-M190)/S190*T190*R190,IF(H190="Short",(M190-Q190)/S190*T190*R190,"")))</f>
        <v/>
      </c>
      <c r="X190" s="51" t="str">
        <f aca="false">IF(W190="","",W190-U190-V190)</f>
        <v/>
      </c>
      <c r="Y190" s="51" t="str">
        <f aca="false">IF(OR(M190="",N190="",R190="",S190="",T190=""),"",ABS(M190-N190)/S190*T190*R190+U190+V190)</f>
        <v/>
      </c>
      <c r="Z190" s="52" t="str">
        <f aca="false">IF(OR(X190="",Y190="",Y190=0),"",X190/Y190)</f>
        <v/>
      </c>
      <c r="AA190" s="50"/>
      <c r="AB190" s="50"/>
      <c r="AC190" s="44"/>
      <c r="AD190" s="44"/>
      <c r="AE190" s="44"/>
      <c r="AF190" s="44"/>
      <c r="AG190" s="44"/>
      <c r="AH190" s="44"/>
      <c r="AI190" s="44"/>
      <c r="AJ190" s="52" t="str">
        <f aca="false">IF(B190="","",SUM($Z$6:Z190))</f>
        <v/>
      </c>
      <c r="AK190" s="52" t="str">
        <f aca="false">IF(AJ190="","",MAX($AJ$6:AJ190))</f>
        <v/>
      </c>
      <c r="AL190" s="52" t="str">
        <f aca="false">IF(AJ190="","",AJ190-AK190)</f>
        <v/>
      </c>
    </row>
    <row r="191" customFormat="false" ht="15" hidden="false" customHeight="false" outlineLevel="0" collapsed="false">
      <c r="A191" s="44"/>
      <c r="B191" s="45"/>
      <c r="C191" s="44"/>
      <c r="D191" s="44"/>
      <c r="E191" s="44"/>
      <c r="F191" s="44"/>
      <c r="G191" s="44"/>
      <c r="H191" s="44"/>
      <c r="I191" s="44"/>
      <c r="J191" s="44"/>
      <c r="K191" s="44"/>
      <c r="L191" s="46"/>
      <c r="M191" s="47"/>
      <c r="N191" s="47"/>
      <c r="O191" s="47"/>
      <c r="P191" s="47"/>
      <c r="Q191" s="47"/>
      <c r="R191" s="48"/>
      <c r="S191" s="49" t="str">
        <f aca="false">IF(E191="","",IFERROR(VLOOKUP(E191,Lists!$A$5:$C$8,2,FALSE()),""))</f>
        <v/>
      </c>
      <c r="T191" s="49" t="str">
        <f aca="false">IF(E191="","",IFERROR(VLOOKUP(E191,Lists!$A$5:$C$8,3,FALSE()),""))</f>
        <v/>
      </c>
      <c r="U191" s="50"/>
      <c r="V191" s="50"/>
      <c r="W191" s="51" t="str">
        <f aca="false">IF(OR(M191="",Q191="",R191="",S191="",T191=""),"",IF(H191="Long",(Q191-M191)/S191*T191*R191,IF(H191="Short",(M191-Q191)/S191*T191*R191,"")))</f>
        <v/>
      </c>
      <c r="X191" s="51" t="str">
        <f aca="false">IF(W191="","",W191-U191-V191)</f>
        <v/>
      </c>
      <c r="Y191" s="51" t="str">
        <f aca="false">IF(OR(M191="",N191="",R191="",S191="",T191=""),"",ABS(M191-N191)/S191*T191*R191+U191+V191)</f>
        <v/>
      </c>
      <c r="Z191" s="52" t="str">
        <f aca="false">IF(OR(X191="",Y191="",Y191=0),"",X191/Y191)</f>
        <v/>
      </c>
      <c r="AA191" s="50"/>
      <c r="AB191" s="50"/>
      <c r="AC191" s="44"/>
      <c r="AD191" s="44"/>
      <c r="AE191" s="44"/>
      <c r="AF191" s="44"/>
      <c r="AG191" s="44"/>
      <c r="AH191" s="44"/>
      <c r="AI191" s="44"/>
      <c r="AJ191" s="52" t="str">
        <f aca="false">IF(B191="","",SUM($Z$6:Z191))</f>
        <v/>
      </c>
      <c r="AK191" s="52" t="str">
        <f aca="false">IF(AJ191="","",MAX($AJ$6:AJ191))</f>
        <v/>
      </c>
      <c r="AL191" s="52" t="str">
        <f aca="false">IF(AJ191="","",AJ191-AK191)</f>
        <v/>
      </c>
    </row>
    <row r="192" customFormat="false" ht="15" hidden="false" customHeight="false" outlineLevel="0" collapsed="false">
      <c r="A192" s="44"/>
      <c r="B192" s="45"/>
      <c r="C192" s="44"/>
      <c r="D192" s="44"/>
      <c r="E192" s="44"/>
      <c r="F192" s="44"/>
      <c r="G192" s="44"/>
      <c r="H192" s="44"/>
      <c r="I192" s="44"/>
      <c r="J192" s="44"/>
      <c r="K192" s="44"/>
      <c r="L192" s="46"/>
      <c r="M192" s="47"/>
      <c r="N192" s="47"/>
      <c r="O192" s="47"/>
      <c r="P192" s="47"/>
      <c r="Q192" s="47"/>
      <c r="R192" s="48"/>
      <c r="S192" s="49" t="str">
        <f aca="false">IF(E192="","",IFERROR(VLOOKUP(E192,Lists!$A$5:$C$8,2,FALSE()),""))</f>
        <v/>
      </c>
      <c r="T192" s="49" t="str">
        <f aca="false">IF(E192="","",IFERROR(VLOOKUP(E192,Lists!$A$5:$C$8,3,FALSE()),""))</f>
        <v/>
      </c>
      <c r="U192" s="50"/>
      <c r="V192" s="50"/>
      <c r="W192" s="51" t="str">
        <f aca="false">IF(OR(M192="",Q192="",R192="",S192="",T192=""),"",IF(H192="Long",(Q192-M192)/S192*T192*R192,IF(H192="Short",(M192-Q192)/S192*T192*R192,"")))</f>
        <v/>
      </c>
      <c r="X192" s="51" t="str">
        <f aca="false">IF(W192="","",W192-U192-V192)</f>
        <v/>
      </c>
      <c r="Y192" s="51" t="str">
        <f aca="false">IF(OR(M192="",N192="",R192="",S192="",T192=""),"",ABS(M192-N192)/S192*T192*R192+U192+V192)</f>
        <v/>
      </c>
      <c r="Z192" s="52" t="str">
        <f aca="false">IF(OR(X192="",Y192="",Y192=0),"",X192/Y192)</f>
        <v/>
      </c>
      <c r="AA192" s="50"/>
      <c r="AB192" s="50"/>
      <c r="AC192" s="44"/>
      <c r="AD192" s="44"/>
      <c r="AE192" s="44"/>
      <c r="AF192" s="44"/>
      <c r="AG192" s="44"/>
      <c r="AH192" s="44"/>
      <c r="AI192" s="44"/>
      <c r="AJ192" s="52" t="str">
        <f aca="false">IF(B192="","",SUM($Z$6:Z192))</f>
        <v/>
      </c>
      <c r="AK192" s="52" t="str">
        <f aca="false">IF(AJ192="","",MAX($AJ$6:AJ192))</f>
        <v/>
      </c>
      <c r="AL192" s="52" t="str">
        <f aca="false">IF(AJ192="","",AJ192-AK192)</f>
        <v/>
      </c>
    </row>
    <row r="193" customFormat="false" ht="15" hidden="false" customHeight="false" outlineLevel="0" collapsed="false">
      <c r="A193" s="44"/>
      <c r="B193" s="45"/>
      <c r="C193" s="44"/>
      <c r="D193" s="44"/>
      <c r="E193" s="44"/>
      <c r="F193" s="44"/>
      <c r="G193" s="44"/>
      <c r="H193" s="44"/>
      <c r="I193" s="44"/>
      <c r="J193" s="44"/>
      <c r="K193" s="44"/>
      <c r="L193" s="46"/>
      <c r="M193" s="47"/>
      <c r="N193" s="47"/>
      <c r="O193" s="47"/>
      <c r="P193" s="47"/>
      <c r="Q193" s="47"/>
      <c r="R193" s="48"/>
      <c r="S193" s="49" t="str">
        <f aca="false">IF(E193="","",IFERROR(VLOOKUP(E193,Lists!$A$5:$C$8,2,FALSE()),""))</f>
        <v/>
      </c>
      <c r="T193" s="49" t="str">
        <f aca="false">IF(E193="","",IFERROR(VLOOKUP(E193,Lists!$A$5:$C$8,3,FALSE()),""))</f>
        <v/>
      </c>
      <c r="U193" s="50"/>
      <c r="V193" s="50"/>
      <c r="W193" s="51" t="str">
        <f aca="false">IF(OR(M193="",Q193="",R193="",S193="",T193=""),"",IF(H193="Long",(Q193-M193)/S193*T193*R193,IF(H193="Short",(M193-Q193)/S193*T193*R193,"")))</f>
        <v/>
      </c>
      <c r="X193" s="51" t="str">
        <f aca="false">IF(W193="","",W193-U193-V193)</f>
        <v/>
      </c>
      <c r="Y193" s="51" t="str">
        <f aca="false">IF(OR(M193="",N193="",R193="",S193="",T193=""),"",ABS(M193-N193)/S193*T193*R193+U193+V193)</f>
        <v/>
      </c>
      <c r="Z193" s="52" t="str">
        <f aca="false">IF(OR(X193="",Y193="",Y193=0),"",X193/Y193)</f>
        <v/>
      </c>
      <c r="AA193" s="50"/>
      <c r="AB193" s="50"/>
      <c r="AC193" s="44"/>
      <c r="AD193" s="44"/>
      <c r="AE193" s="44"/>
      <c r="AF193" s="44"/>
      <c r="AG193" s="44"/>
      <c r="AH193" s="44"/>
      <c r="AI193" s="44"/>
      <c r="AJ193" s="52" t="str">
        <f aca="false">IF(B193="","",SUM($Z$6:Z193))</f>
        <v/>
      </c>
      <c r="AK193" s="52" t="str">
        <f aca="false">IF(AJ193="","",MAX($AJ$6:AJ193))</f>
        <v/>
      </c>
      <c r="AL193" s="52" t="str">
        <f aca="false">IF(AJ193="","",AJ193-AK193)</f>
        <v/>
      </c>
    </row>
    <row r="194" customFormat="false" ht="15" hidden="false" customHeight="false" outlineLevel="0" collapsed="false">
      <c r="A194" s="44"/>
      <c r="B194" s="45"/>
      <c r="C194" s="44"/>
      <c r="D194" s="44"/>
      <c r="E194" s="44"/>
      <c r="F194" s="44"/>
      <c r="G194" s="44"/>
      <c r="H194" s="44"/>
      <c r="I194" s="44"/>
      <c r="J194" s="44"/>
      <c r="K194" s="44"/>
      <c r="L194" s="46"/>
      <c r="M194" s="47"/>
      <c r="N194" s="47"/>
      <c r="O194" s="47"/>
      <c r="P194" s="47"/>
      <c r="Q194" s="47"/>
      <c r="R194" s="48"/>
      <c r="S194" s="49" t="str">
        <f aca="false">IF(E194="","",IFERROR(VLOOKUP(E194,Lists!$A$5:$C$8,2,FALSE()),""))</f>
        <v/>
      </c>
      <c r="T194" s="49" t="str">
        <f aca="false">IF(E194="","",IFERROR(VLOOKUP(E194,Lists!$A$5:$C$8,3,FALSE()),""))</f>
        <v/>
      </c>
      <c r="U194" s="50"/>
      <c r="V194" s="50"/>
      <c r="W194" s="51" t="str">
        <f aca="false">IF(OR(M194="",Q194="",R194="",S194="",T194=""),"",IF(H194="Long",(Q194-M194)/S194*T194*R194,IF(H194="Short",(M194-Q194)/S194*T194*R194,"")))</f>
        <v/>
      </c>
      <c r="X194" s="51" t="str">
        <f aca="false">IF(W194="","",W194-U194-V194)</f>
        <v/>
      </c>
      <c r="Y194" s="51" t="str">
        <f aca="false">IF(OR(M194="",N194="",R194="",S194="",T194=""),"",ABS(M194-N194)/S194*T194*R194+U194+V194)</f>
        <v/>
      </c>
      <c r="Z194" s="52" t="str">
        <f aca="false">IF(OR(X194="",Y194="",Y194=0),"",X194/Y194)</f>
        <v/>
      </c>
      <c r="AA194" s="50"/>
      <c r="AB194" s="50"/>
      <c r="AC194" s="44"/>
      <c r="AD194" s="44"/>
      <c r="AE194" s="44"/>
      <c r="AF194" s="44"/>
      <c r="AG194" s="44"/>
      <c r="AH194" s="44"/>
      <c r="AI194" s="44"/>
      <c r="AJ194" s="52" t="str">
        <f aca="false">IF(B194="","",SUM($Z$6:Z194))</f>
        <v/>
      </c>
      <c r="AK194" s="52" t="str">
        <f aca="false">IF(AJ194="","",MAX($AJ$6:AJ194))</f>
        <v/>
      </c>
      <c r="AL194" s="52" t="str">
        <f aca="false">IF(AJ194="","",AJ194-AK194)</f>
        <v/>
      </c>
    </row>
    <row r="195" customFormat="false" ht="15" hidden="false" customHeight="false" outlineLevel="0" collapsed="false">
      <c r="A195" s="44"/>
      <c r="B195" s="45"/>
      <c r="C195" s="44"/>
      <c r="D195" s="44"/>
      <c r="E195" s="44"/>
      <c r="F195" s="44"/>
      <c r="G195" s="44"/>
      <c r="H195" s="44"/>
      <c r="I195" s="44"/>
      <c r="J195" s="44"/>
      <c r="K195" s="44"/>
      <c r="L195" s="46"/>
      <c r="M195" s="47"/>
      <c r="N195" s="47"/>
      <c r="O195" s="47"/>
      <c r="P195" s="47"/>
      <c r="Q195" s="47"/>
      <c r="R195" s="48"/>
      <c r="S195" s="49" t="str">
        <f aca="false">IF(E195="","",IFERROR(VLOOKUP(E195,Lists!$A$5:$C$8,2,FALSE()),""))</f>
        <v/>
      </c>
      <c r="T195" s="49" t="str">
        <f aca="false">IF(E195="","",IFERROR(VLOOKUP(E195,Lists!$A$5:$C$8,3,FALSE()),""))</f>
        <v/>
      </c>
      <c r="U195" s="50"/>
      <c r="V195" s="50"/>
      <c r="W195" s="51" t="str">
        <f aca="false">IF(OR(M195="",Q195="",R195="",S195="",T195=""),"",IF(H195="Long",(Q195-M195)/S195*T195*R195,IF(H195="Short",(M195-Q195)/S195*T195*R195,"")))</f>
        <v/>
      </c>
      <c r="X195" s="51" t="str">
        <f aca="false">IF(W195="","",W195-U195-V195)</f>
        <v/>
      </c>
      <c r="Y195" s="51" t="str">
        <f aca="false">IF(OR(M195="",N195="",R195="",S195="",T195=""),"",ABS(M195-N195)/S195*T195*R195+U195+V195)</f>
        <v/>
      </c>
      <c r="Z195" s="52" t="str">
        <f aca="false">IF(OR(X195="",Y195="",Y195=0),"",X195/Y195)</f>
        <v/>
      </c>
      <c r="AA195" s="50"/>
      <c r="AB195" s="50"/>
      <c r="AC195" s="44"/>
      <c r="AD195" s="44"/>
      <c r="AE195" s="44"/>
      <c r="AF195" s="44"/>
      <c r="AG195" s="44"/>
      <c r="AH195" s="44"/>
      <c r="AI195" s="44"/>
      <c r="AJ195" s="52" t="str">
        <f aca="false">IF(B195="","",SUM($Z$6:Z195))</f>
        <v/>
      </c>
      <c r="AK195" s="52" t="str">
        <f aca="false">IF(AJ195="","",MAX($AJ$6:AJ195))</f>
        <v/>
      </c>
      <c r="AL195" s="52" t="str">
        <f aca="false">IF(AJ195="","",AJ195-AK195)</f>
        <v/>
      </c>
    </row>
    <row r="196" customFormat="false" ht="15" hidden="false" customHeight="false" outlineLevel="0" collapsed="false">
      <c r="A196" s="44"/>
      <c r="B196" s="45"/>
      <c r="C196" s="44"/>
      <c r="D196" s="44"/>
      <c r="E196" s="44"/>
      <c r="F196" s="44"/>
      <c r="G196" s="44"/>
      <c r="H196" s="44"/>
      <c r="I196" s="44"/>
      <c r="J196" s="44"/>
      <c r="K196" s="44"/>
      <c r="L196" s="46"/>
      <c r="M196" s="47"/>
      <c r="N196" s="47"/>
      <c r="O196" s="47"/>
      <c r="P196" s="47"/>
      <c r="Q196" s="47"/>
      <c r="R196" s="48"/>
      <c r="S196" s="49" t="str">
        <f aca="false">IF(E196="","",IFERROR(VLOOKUP(E196,Lists!$A$5:$C$8,2,FALSE()),""))</f>
        <v/>
      </c>
      <c r="T196" s="49" t="str">
        <f aca="false">IF(E196="","",IFERROR(VLOOKUP(E196,Lists!$A$5:$C$8,3,FALSE()),""))</f>
        <v/>
      </c>
      <c r="U196" s="50"/>
      <c r="V196" s="50"/>
      <c r="W196" s="51" t="str">
        <f aca="false">IF(OR(M196="",Q196="",R196="",S196="",T196=""),"",IF(H196="Long",(Q196-M196)/S196*T196*R196,IF(H196="Short",(M196-Q196)/S196*T196*R196,"")))</f>
        <v/>
      </c>
      <c r="X196" s="51" t="str">
        <f aca="false">IF(W196="","",W196-U196-V196)</f>
        <v/>
      </c>
      <c r="Y196" s="51" t="str">
        <f aca="false">IF(OR(M196="",N196="",R196="",S196="",T196=""),"",ABS(M196-N196)/S196*T196*R196+U196+V196)</f>
        <v/>
      </c>
      <c r="Z196" s="52" t="str">
        <f aca="false">IF(OR(X196="",Y196="",Y196=0),"",X196/Y196)</f>
        <v/>
      </c>
      <c r="AA196" s="50"/>
      <c r="AB196" s="50"/>
      <c r="AC196" s="44"/>
      <c r="AD196" s="44"/>
      <c r="AE196" s="44"/>
      <c r="AF196" s="44"/>
      <c r="AG196" s="44"/>
      <c r="AH196" s="44"/>
      <c r="AI196" s="44"/>
      <c r="AJ196" s="52" t="str">
        <f aca="false">IF(B196="","",SUM($Z$6:Z196))</f>
        <v/>
      </c>
      <c r="AK196" s="52" t="str">
        <f aca="false">IF(AJ196="","",MAX($AJ$6:AJ196))</f>
        <v/>
      </c>
      <c r="AL196" s="52" t="str">
        <f aca="false">IF(AJ196="","",AJ196-AK196)</f>
        <v/>
      </c>
    </row>
    <row r="197" customFormat="false" ht="15" hidden="false" customHeight="false" outlineLevel="0" collapsed="false">
      <c r="A197" s="44"/>
      <c r="B197" s="45"/>
      <c r="C197" s="44"/>
      <c r="D197" s="44"/>
      <c r="E197" s="44"/>
      <c r="F197" s="44"/>
      <c r="G197" s="44"/>
      <c r="H197" s="44"/>
      <c r="I197" s="44"/>
      <c r="J197" s="44"/>
      <c r="K197" s="44"/>
      <c r="L197" s="46"/>
      <c r="M197" s="47"/>
      <c r="N197" s="47"/>
      <c r="O197" s="47"/>
      <c r="P197" s="47"/>
      <c r="Q197" s="47"/>
      <c r="R197" s="48"/>
      <c r="S197" s="49" t="str">
        <f aca="false">IF(E197="","",IFERROR(VLOOKUP(E197,Lists!$A$5:$C$8,2,FALSE()),""))</f>
        <v/>
      </c>
      <c r="T197" s="49" t="str">
        <f aca="false">IF(E197="","",IFERROR(VLOOKUP(E197,Lists!$A$5:$C$8,3,FALSE()),""))</f>
        <v/>
      </c>
      <c r="U197" s="50"/>
      <c r="V197" s="50"/>
      <c r="W197" s="51" t="str">
        <f aca="false">IF(OR(M197="",Q197="",R197="",S197="",T197=""),"",IF(H197="Long",(Q197-M197)/S197*T197*R197,IF(H197="Short",(M197-Q197)/S197*T197*R197,"")))</f>
        <v/>
      </c>
      <c r="X197" s="51" t="str">
        <f aca="false">IF(W197="","",W197-U197-V197)</f>
        <v/>
      </c>
      <c r="Y197" s="51" t="str">
        <f aca="false">IF(OR(M197="",N197="",R197="",S197="",T197=""),"",ABS(M197-N197)/S197*T197*R197+U197+V197)</f>
        <v/>
      </c>
      <c r="Z197" s="52" t="str">
        <f aca="false">IF(OR(X197="",Y197="",Y197=0),"",X197/Y197)</f>
        <v/>
      </c>
      <c r="AA197" s="50"/>
      <c r="AB197" s="50"/>
      <c r="AC197" s="44"/>
      <c r="AD197" s="44"/>
      <c r="AE197" s="44"/>
      <c r="AF197" s="44"/>
      <c r="AG197" s="44"/>
      <c r="AH197" s="44"/>
      <c r="AI197" s="44"/>
      <c r="AJ197" s="52" t="str">
        <f aca="false">IF(B197="","",SUM($Z$6:Z197))</f>
        <v/>
      </c>
      <c r="AK197" s="52" t="str">
        <f aca="false">IF(AJ197="","",MAX($AJ$6:AJ197))</f>
        <v/>
      </c>
      <c r="AL197" s="52" t="str">
        <f aca="false">IF(AJ197="","",AJ197-AK197)</f>
        <v/>
      </c>
    </row>
    <row r="198" customFormat="false" ht="15" hidden="false" customHeight="false" outlineLevel="0" collapsed="false">
      <c r="A198" s="44"/>
      <c r="B198" s="45"/>
      <c r="C198" s="44"/>
      <c r="D198" s="44"/>
      <c r="E198" s="44"/>
      <c r="F198" s="44"/>
      <c r="G198" s="44"/>
      <c r="H198" s="44"/>
      <c r="I198" s="44"/>
      <c r="J198" s="44"/>
      <c r="K198" s="44"/>
      <c r="L198" s="46"/>
      <c r="M198" s="47"/>
      <c r="N198" s="47"/>
      <c r="O198" s="47"/>
      <c r="P198" s="47"/>
      <c r="Q198" s="47"/>
      <c r="R198" s="48"/>
      <c r="S198" s="49" t="str">
        <f aca="false">IF(E198="","",IFERROR(VLOOKUP(E198,Lists!$A$5:$C$8,2,FALSE()),""))</f>
        <v/>
      </c>
      <c r="T198" s="49" t="str">
        <f aca="false">IF(E198="","",IFERROR(VLOOKUP(E198,Lists!$A$5:$C$8,3,FALSE()),""))</f>
        <v/>
      </c>
      <c r="U198" s="50"/>
      <c r="V198" s="50"/>
      <c r="W198" s="51" t="str">
        <f aca="false">IF(OR(M198="",Q198="",R198="",S198="",T198=""),"",IF(H198="Long",(Q198-M198)/S198*T198*R198,IF(H198="Short",(M198-Q198)/S198*T198*R198,"")))</f>
        <v/>
      </c>
      <c r="X198" s="51" t="str">
        <f aca="false">IF(W198="","",W198-U198-V198)</f>
        <v/>
      </c>
      <c r="Y198" s="51" t="str">
        <f aca="false">IF(OR(M198="",N198="",R198="",S198="",T198=""),"",ABS(M198-N198)/S198*T198*R198+U198+V198)</f>
        <v/>
      </c>
      <c r="Z198" s="52" t="str">
        <f aca="false">IF(OR(X198="",Y198="",Y198=0),"",X198/Y198)</f>
        <v/>
      </c>
      <c r="AA198" s="50"/>
      <c r="AB198" s="50"/>
      <c r="AC198" s="44"/>
      <c r="AD198" s="44"/>
      <c r="AE198" s="44"/>
      <c r="AF198" s="44"/>
      <c r="AG198" s="44"/>
      <c r="AH198" s="44"/>
      <c r="AI198" s="44"/>
      <c r="AJ198" s="52" t="str">
        <f aca="false">IF(B198="","",SUM($Z$6:Z198))</f>
        <v/>
      </c>
      <c r="AK198" s="52" t="str">
        <f aca="false">IF(AJ198="","",MAX($AJ$6:AJ198))</f>
        <v/>
      </c>
      <c r="AL198" s="52" t="str">
        <f aca="false">IF(AJ198="","",AJ198-AK198)</f>
        <v/>
      </c>
    </row>
    <row r="199" customFormat="false" ht="15" hidden="false" customHeight="false" outlineLevel="0" collapsed="false">
      <c r="A199" s="44"/>
      <c r="B199" s="45"/>
      <c r="C199" s="44"/>
      <c r="D199" s="44"/>
      <c r="E199" s="44"/>
      <c r="F199" s="44"/>
      <c r="G199" s="44"/>
      <c r="H199" s="44"/>
      <c r="I199" s="44"/>
      <c r="J199" s="44"/>
      <c r="K199" s="44"/>
      <c r="L199" s="46"/>
      <c r="M199" s="47"/>
      <c r="N199" s="47"/>
      <c r="O199" s="47"/>
      <c r="P199" s="47"/>
      <c r="Q199" s="47"/>
      <c r="R199" s="48"/>
      <c r="S199" s="49" t="str">
        <f aca="false">IF(E199="","",IFERROR(VLOOKUP(E199,Lists!$A$5:$C$8,2,FALSE()),""))</f>
        <v/>
      </c>
      <c r="T199" s="49" t="str">
        <f aca="false">IF(E199="","",IFERROR(VLOOKUP(E199,Lists!$A$5:$C$8,3,FALSE()),""))</f>
        <v/>
      </c>
      <c r="U199" s="50"/>
      <c r="V199" s="50"/>
      <c r="W199" s="51" t="str">
        <f aca="false">IF(OR(M199="",Q199="",R199="",S199="",T199=""),"",IF(H199="Long",(Q199-M199)/S199*T199*R199,IF(H199="Short",(M199-Q199)/S199*T199*R199,"")))</f>
        <v/>
      </c>
      <c r="X199" s="51" t="str">
        <f aca="false">IF(W199="","",W199-U199-V199)</f>
        <v/>
      </c>
      <c r="Y199" s="51" t="str">
        <f aca="false">IF(OR(M199="",N199="",R199="",S199="",T199=""),"",ABS(M199-N199)/S199*T199*R199+U199+V199)</f>
        <v/>
      </c>
      <c r="Z199" s="52" t="str">
        <f aca="false">IF(OR(X199="",Y199="",Y199=0),"",X199/Y199)</f>
        <v/>
      </c>
      <c r="AA199" s="50"/>
      <c r="AB199" s="50"/>
      <c r="AC199" s="44"/>
      <c r="AD199" s="44"/>
      <c r="AE199" s="44"/>
      <c r="AF199" s="44"/>
      <c r="AG199" s="44"/>
      <c r="AH199" s="44"/>
      <c r="AI199" s="44"/>
      <c r="AJ199" s="52" t="str">
        <f aca="false">IF(B199="","",SUM($Z$6:Z199))</f>
        <v/>
      </c>
      <c r="AK199" s="52" t="str">
        <f aca="false">IF(AJ199="","",MAX($AJ$6:AJ199))</f>
        <v/>
      </c>
      <c r="AL199" s="52" t="str">
        <f aca="false">IF(AJ199="","",AJ199-AK199)</f>
        <v/>
      </c>
    </row>
    <row r="200" customFormat="false" ht="15" hidden="false" customHeight="false" outlineLevel="0" collapsed="false">
      <c r="A200" s="44"/>
      <c r="B200" s="45"/>
      <c r="C200" s="44"/>
      <c r="D200" s="44"/>
      <c r="E200" s="44"/>
      <c r="F200" s="44"/>
      <c r="G200" s="44"/>
      <c r="H200" s="44"/>
      <c r="I200" s="44"/>
      <c r="J200" s="44"/>
      <c r="K200" s="44"/>
      <c r="L200" s="46"/>
      <c r="M200" s="47"/>
      <c r="N200" s="47"/>
      <c r="O200" s="47"/>
      <c r="P200" s="47"/>
      <c r="Q200" s="47"/>
      <c r="R200" s="48"/>
      <c r="S200" s="49" t="str">
        <f aca="false">IF(E200="","",IFERROR(VLOOKUP(E200,Lists!$A$5:$C$8,2,FALSE()),""))</f>
        <v/>
      </c>
      <c r="T200" s="49" t="str">
        <f aca="false">IF(E200="","",IFERROR(VLOOKUP(E200,Lists!$A$5:$C$8,3,FALSE()),""))</f>
        <v/>
      </c>
      <c r="U200" s="50"/>
      <c r="V200" s="50"/>
      <c r="W200" s="51" t="str">
        <f aca="false">IF(OR(M200="",Q200="",R200="",S200="",T200=""),"",IF(H200="Long",(Q200-M200)/S200*T200*R200,IF(H200="Short",(M200-Q200)/S200*T200*R200,"")))</f>
        <v/>
      </c>
      <c r="X200" s="51" t="str">
        <f aca="false">IF(W200="","",W200-U200-V200)</f>
        <v/>
      </c>
      <c r="Y200" s="51" t="str">
        <f aca="false">IF(OR(M200="",N200="",R200="",S200="",T200=""),"",ABS(M200-N200)/S200*T200*R200+U200+V200)</f>
        <v/>
      </c>
      <c r="Z200" s="52" t="str">
        <f aca="false">IF(OR(X200="",Y200="",Y200=0),"",X200/Y200)</f>
        <v/>
      </c>
      <c r="AA200" s="50"/>
      <c r="AB200" s="50"/>
      <c r="AC200" s="44"/>
      <c r="AD200" s="44"/>
      <c r="AE200" s="44"/>
      <c r="AF200" s="44"/>
      <c r="AG200" s="44"/>
      <c r="AH200" s="44"/>
      <c r="AI200" s="44"/>
      <c r="AJ200" s="52" t="str">
        <f aca="false">IF(B200="","",SUM($Z$6:Z200))</f>
        <v/>
      </c>
      <c r="AK200" s="52" t="str">
        <f aca="false">IF(AJ200="","",MAX($AJ$6:AJ200))</f>
        <v/>
      </c>
      <c r="AL200" s="52" t="str">
        <f aca="false">IF(AJ200="","",AJ200-AK200)</f>
        <v/>
      </c>
    </row>
    <row r="201" customFormat="false" ht="15" hidden="false" customHeight="false" outlineLevel="0" collapsed="false">
      <c r="A201" s="44"/>
      <c r="B201" s="45"/>
      <c r="C201" s="44"/>
      <c r="D201" s="44"/>
      <c r="E201" s="44"/>
      <c r="F201" s="44"/>
      <c r="G201" s="44"/>
      <c r="H201" s="44"/>
      <c r="I201" s="44"/>
      <c r="J201" s="44"/>
      <c r="K201" s="44"/>
      <c r="L201" s="46"/>
      <c r="M201" s="47"/>
      <c r="N201" s="47"/>
      <c r="O201" s="47"/>
      <c r="P201" s="47"/>
      <c r="Q201" s="47"/>
      <c r="R201" s="48"/>
      <c r="S201" s="49" t="str">
        <f aca="false">IF(E201="","",IFERROR(VLOOKUP(E201,Lists!$A$5:$C$8,2,FALSE()),""))</f>
        <v/>
      </c>
      <c r="T201" s="49" t="str">
        <f aca="false">IF(E201="","",IFERROR(VLOOKUP(E201,Lists!$A$5:$C$8,3,FALSE()),""))</f>
        <v/>
      </c>
      <c r="U201" s="50"/>
      <c r="V201" s="50"/>
      <c r="W201" s="51" t="str">
        <f aca="false">IF(OR(M201="",Q201="",R201="",S201="",T201=""),"",IF(H201="Long",(Q201-M201)/S201*T201*R201,IF(H201="Short",(M201-Q201)/S201*T201*R201,"")))</f>
        <v/>
      </c>
      <c r="X201" s="51" t="str">
        <f aca="false">IF(W201="","",W201-U201-V201)</f>
        <v/>
      </c>
      <c r="Y201" s="51" t="str">
        <f aca="false">IF(OR(M201="",N201="",R201="",S201="",T201=""),"",ABS(M201-N201)/S201*T201*R201+U201+V201)</f>
        <v/>
      </c>
      <c r="Z201" s="52" t="str">
        <f aca="false">IF(OR(X201="",Y201="",Y201=0),"",X201/Y201)</f>
        <v/>
      </c>
      <c r="AA201" s="50"/>
      <c r="AB201" s="50"/>
      <c r="AC201" s="44"/>
      <c r="AD201" s="44"/>
      <c r="AE201" s="44"/>
      <c r="AF201" s="44"/>
      <c r="AG201" s="44"/>
      <c r="AH201" s="44"/>
      <c r="AI201" s="44"/>
      <c r="AJ201" s="52" t="str">
        <f aca="false">IF(B201="","",SUM($Z$6:Z201))</f>
        <v/>
      </c>
      <c r="AK201" s="52" t="str">
        <f aca="false">IF(AJ201="","",MAX($AJ$6:AJ201))</f>
        <v/>
      </c>
      <c r="AL201" s="52" t="str">
        <f aca="false">IF(AJ201="","",AJ201-AK201)</f>
        <v/>
      </c>
    </row>
    <row r="202" customFormat="false" ht="15" hidden="false" customHeight="false" outlineLevel="0" collapsed="false">
      <c r="A202" s="44"/>
      <c r="B202" s="45"/>
      <c r="C202" s="44"/>
      <c r="D202" s="44"/>
      <c r="E202" s="44"/>
      <c r="F202" s="44"/>
      <c r="G202" s="44"/>
      <c r="H202" s="44"/>
      <c r="I202" s="44"/>
      <c r="J202" s="44"/>
      <c r="K202" s="44"/>
      <c r="L202" s="46"/>
      <c r="M202" s="47"/>
      <c r="N202" s="47"/>
      <c r="O202" s="47"/>
      <c r="P202" s="47"/>
      <c r="Q202" s="47"/>
      <c r="R202" s="48"/>
      <c r="S202" s="49" t="str">
        <f aca="false">IF(E202="","",IFERROR(VLOOKUP(E202,Lists!$A$5:$C$8,2,FALSE()),""))</f>
        <v/>
      </c>
      <c r="T202" s="49" t="str">
        <f aca="false">IF(E202="","",IFERROR(VLOOKUP(E202,Lists!$A$5:$C$8,3,FALSE()),""))</f>
        <v/>
      </c>
      <c r="U202" s="50"/>
      <c r="V202" s="50"/>
      <c r="W202" s="51" t="str">
        <f aca="false">IF(OR(M202="",Q202="",R202="",S202="",T202=""),"",IF(H202="Long",(Q202-M202)/S202*T202*R202,IF(H202="Short",(M202-Q202)/S202*T202*R202,"")))</f>
        <v/>
      </c>
      <c r="X202" s="51" t="str">
        <f aca="false">IF(W202="","",W202-U202-V202)</f>
        <v/>
      </c>
      <c r="Y202" s="51" t="str">
        <f aca="false">IF(OR(M202="",N202="",R202="",S202="",T202=""),"",ABS(M202-N202)/S202*T202*R202+U202+V202)</f>
        <v/>
      </c>
      <c r="Z202" s="52" t="str">
        <f aca="false">IF(OR(X202="",Y202="",Y202=0),"",X202/Y202)</f>
        <v/>
      </c>
      <c r="AA202" s="50"/>
      <c r="AB202" s="50"/>
      <c r="AC202" s="44"/>
      <c r="AD202" s="44"/>
      <c r="AE202" s="44"/>
      <c r="AF202" s="44"/>
      <c r="AG202" s="44"/>
      <c r="AH202" s="44"/>
      <c r="AI202" s="44"/>
      <c r="AJ202" s="52" t="str">
        <f aca="false">IF(B202="","",SUM($Z$6:Z202))</f>
        <v/>
      </c>
      <c r="AK202" s="52" t="str">
        <f aca="false">IF(AJ202="","",MAX($AJ$6:AJ202))</f>
        <v/>
      </c>
      <c r="AL202" s="52" t="str">
        <f aca="false">IF(AJ202="","",AJ202-AK202)</f>
        <v/>
      </c>
    </row>
    <row r="203" customFormat="false" ht="15" hidden="false" customHeight="false" outlineLevel="0" collapsed="false">
      <c r="A203" s="44"/>
      <c r="B203" s="45"/>
      <c r="C203" s="44"/>
      <c r="D203" s="44"/>
      <c r="E203" s="44"/>
      <c r="F203" s="44"/>
      <c r="G203" s="44"/>
      <c r="H203" s="44"/>
      <c r="I203" s="44"/>
      <c r="J203" s="44"/>
      <c r="K203" s="44"/>
      <c r="L203" s="46"/>
      <c r="M203" s="47"/>
      <c r="N203" s="47"/>
      <c r="O203" s="47"/>
      <c r="P203" s="47"/>
      <c r="Q203" s="47"/>
      <c r="R203" s="48"/>
      <c r="S203" s="49" t="str">
        <f aca="false">IF(E203="","",IFERROR(VLOOKUP(E203,Lists!$A$5:$C$8,2,FALSE()),""))</f>
        <v/>
      </c>
      <c r="T203" s="49" t="str">
        <f aca="false">IF(E203="","",IFERROR(VLOOKUP(E203,Lists!$A$5:$C$8,3,FALSE()),""))</f>
        <v/>
      </c>
      <c r="U203" s="50"/>
      <c r="V203" s="50"/>
      <c r="W203" s="51" t="str">
        <f aca="false">IF(OR(M203="",Q203="",R203="",S203="",T203=""),"",IF(H203="Long",(Q203-M203)/S203*T203*R203,IF(H203="Short",(M203-Q203)/S203*T203*R203,"")))</f>
        <v/>
      </c>
      <c r="X203" s="51" t="str">
        <f aca="false">IF(W203="","",W203-U203-V203)</f>
        <v/>
      </c>
      <c r="Y203" s="51" t="str">
        <f aca="false">IF(OR(M203="",N203="",R203="",S203="",T203=""),"",ABS(M203-N203)/S203*T203*R203+U203+V203)</f>
        <v/>
      </c>
      <c r="Z203" s="52" t="str">
        <f aca="false">IF(OR(X203="",Y203="",Y203=0),"",X203/Y203)</f>
        <v/>
      </c>
      <c r="AA203" s="50"/>
      <c r="AB203" s="50"/>
      <c r="AC203" s="44"/>
      <c r="AD203" s="44"/>
      <c r="AE203" s="44"/>
      <c r="AF203" s="44"/>
      <c r="AG203" s="44"/>
      <c r="AH203" s="44"/>
      <c r="AI203" s="44"/>
      <c r="AJ203" s="52" t="str">
        <f aca="false">IF(B203="","",SUM($Z$6:Z203))</f>
        <v/>
      </c>
      <c r="AK203" s="52" t="str">
        <f aca="false">IF(AJ203="","",MAX($AJ$6:AJ203))</f>
        <v/>
      </c>
      <c r="AL203" s="52" t="str">
        <f aca="false">IF(AJ203="","",AJ203-AK203)</f>
        <v/>
      </c>
    </row>
    <row r="204" customFormat="false" ht="15" hidden="false" customHeight="false" outlineLevel="0" collapsed="false">
      <c r="A204" s="44"/>
      <c r="B204" s="45"/>
      <c r="C204" s="44"/>
      <c r="D204" s="44"/>
      <c r="E204" s="44"/>
      <c r="F204" s="44"/>
      <c r="G204" s="44"/>
      <c r="H204" s="44"/>
      <c r="I204" s="44"/>
      <c r="J204" s="44"/>
      <c r="K204" s="44"/>
      <c r="L204" s="46"/>
      <c r="M204" s="47"/>
      <c r="N204" s="47"/>
      <c r="O204" s="47"/>
      <c r="P204" s="47"/>
      <c r="Q204" s="47"/>
      <c r="R204" s="48"/>
      <c r="S204" s="49" t="str">
        <f aca="false">IF(E204="","",IFERROR(VLOOKUP(E204,Lists!$A$5:$C$8,2,FALSE()),""))</f>
        <v/>
      </c>
      <c r="T204" s="49" t="str">
        <f aca="false">IF(E204="","",IFERROR(VLOOKUP(E204,Lists!$A$5:$C$8,3,FALSE()),""))</f>
        <v/>
      </c>
      <c r="U204" s="50"/>
      <c r="V204" s="50"/>
      <c r="W204" s="51" t="str">
        <f aca="false">IF(OR(M204="",Q204="",R204="",S204="",T204=""),"",IF(H204="Long",(Q204-M204)/S204*T204*R204,IF(H204="Short",(M204-Q204)/S204*T204*R204,"")))</f>
        <v/>
      </c>
      <c r="X204" s="51" t="str">
        <f aca="false">IF(W204="","",W204-U204-V204)</f>
        <v/>
      </c>
      <c r="Y204" s="51" t="str">
        <f aca="false">IF(OR(M204="",N204="",R204="",S204="",T204=""),"",ABS(M204-N204)/S204*T204*R204+U204+V204)</f>
        <v/>
      </c>
      <c r="Z204" s="52" t="str">
        <f aca="false">IF(OR(X204="",Y204="",Y204=0),"",X204/Y204)</f>
        <v/>
      </c>
      <c r="AA204" s="50"/>
      <c r="AB204" s="50"/>
      <c r="AC204" s="44"/>
      <c r="AD204" s="44"/>
      <c r="AE204" s="44"/>
      <c r="AF204" s="44"/>
      <c r="AG204" s="44"/>
      <c r="AH204" s="44"/>
      <c r="AI204" s="44"/>
      <c r="AJ204" s="52" t="str">
        <f aca="false">IF(B204="","",SUM($Z$6:Z204))</f>
        <v/>
      </c>
      <c r="AK204" s="52" t="str">
        <f aca="false">IF(AJ204="","",MAX($AJ$6:AJ204))</f>
        <v/>
      </c>
      <c r="AL204" s="52" t="str">
        <f aca="false">IF(AJ204="","",AJ204-AK204)</f>
        <v/>
      </c>
    </row>
    <row r="205" customFormat="false" ht="15" hidden="false" customHeight="false" outlineLevel="0" collapsed="false">
      <c r="A205" s="53"/>
      <c r="B205" s="54"/>
      <c r="C205" s="53"/>
      <c r="D205" s="53"/>
      <c r="E205" s="53"/>
      <c r="F205" s="53"/>
      <c r="G205" s="53"/>
      <c r="H205" s="53"/>
      <c r="I205" s="53"/>
      <c r="J205" s="53"/>
      <c r="K205" s="53"/>
      <c r="L205" s="55"/>
      <c r="M205" s="56"/>
      <c r="N205" s="56"/>
      <c r="O205" s="56"/>
      <c r="P205" s="56"/>
      <c r="Q205" s="56"/>
      <c r="R205" s="57"/>
      <c r="S205" s="49" t="str">
        <f aca="false">IF(E205="","",IFERROR(VLOOKUP(E205,Lists!$A$5:$C$8,2,FALSE()),""))</f>
        <v/>
      </c>
      <c r="T205" s="49" t="str">
        <f aca="false">IF(E205="","",IFERROR(VLOOKUP(E205,Lists!$A$5:$C$8,3,FALSE()),""))</f>
        <v/>
      </c>
      <c r="U205" s="58"/>
      <c r="V205" s="58"/>
      <c r="W205" s="51" t="str">
        <f aca="false">IF(OR(M205="",Q205="",R205="",S205="",T205=""),"",IF(H205="Long",(Q205-M205)/S205*T205*R205,IF(H205="Short",(M205-Q205)/S205*T205*R205,"")))</f>
        <v/>
      </c>
      <c r="X205" s="51" t="str">
        <f aca="false">IF(W205="","",W205-U205-V205)</f>
        <v/>
      </c>
      <c r="Y205" s="51" t="str">
        <f aca="false">IF(OR(M205="",N205="",R205="",S205="",T205=""),"",ABS(M205-N205)/S205*T205*R205+U205+V205)</f>
        <v/>
      </c>
      <c r="Z205" s="52" t="str">
        <f aca="false">IF(OR(X205="",Y205="",Y205=0),"",X205/Y205)</f>
        <v/>
      </c>
      <c r="AA205" s="58"/>
      <c r="AB205" s="58"/>
      <c r="AC205" s="53"/>
      <c r="AD205" s="53"/>
      <c r="AE205" s="53"/>
      <c r="AF205" s="53"/>
      <c r="AG205" s="53"/>
      <c r="AH205" s="53"/>
      <c r="AI205" s="53"/>
      <c r="AJ205" s="52" t="str">
        <f aca="false">IF(B205="","",SUM($Z$6:Z205))</f>
        <v/>
      </c>
      <c r="AK205" s="52" t="str">
        <f aca="false">IF(AJ205="","",MAX($AJ$6:AJ205))</f>
        <v/>
      </c>
      <c r="AL205" s="52" t="str">
        <f aca="false">IF(AJ205="","",AJ205-AK205)</f>
        <v/>
      </c>
    </row>
  </sheetData>
  <mergeCells count="3">
    <mergeCell ref="A1:AL1"/>
    <mergeCell ref="A2:AL2"/>
    <mergeCell ref="A4:AL4"/>
  </mergeCells>
  <conditionalFormatting sqref="AC6:AC205">
    <cfRule type="containsText" priority="2" operator="containsText" aboveAverage="0" equalAverage="0" bottom="0" percent="0" rank="0" text="No" dxfId="6">
      <formula>NOT(ISERROR(SEARCH("No",AC6)))</formula>
    </cfRule>
  </conditionalFormatting>
  <conditionalFormatting sqref="AE6:AE205">
    <cfRule type="containsText" priority="3" operator="containsText" aboveAverage="0" equalAverage="0" bottom="0" percent="0" rank="0" text="Yes" dxfId="7">
      <formula>NOT(ISERROR(SEARCH("Yes",AE6)))</formula>
    </cfRule>
  </conditionalFormatting>
  <conditionalFormatting sqref="Z6:Z205">
    <cfRule type="colorScale" priority="4">
      <colorScale>
        <cfvo type="min" val="0"/>
        <cfvo type="percentile" val="50"/>
        <cfvo type="max" val="0"/>
        <color rgb="FFFDE2E1"/>
        <color rgb="FFFFF4CC"/>
        <color rgb="FFD8F3DC"/>
      </colorScale>
    </cfRule>
  </conditionalFormatting>
  <dataValidations count="7">
    <dataValidation allowBlank="false" errorStyle="stop" operator="between" showDropDown="false" showErrorMessage="false" showInputMessage="false" sqref="C6:C205" type="list">
      <formula1>"Observation,Replay Sim,Server Sim,Paper Broker Sim,Live"</formula1>
      <formula2>0</formula2>
    </dataValidation>
    <dataValidation allowBlank="false" errorStyle="stop" operator="between" showDropDown="false" showErrorMessage="false" showInputMessage="false" sqref="E6:E205" type="list">
      <formula1>"MES,MNQ,MGC,MCL"</formula1>
      <formula2>0</formula2>
    </dataValidation>
    <dataValidation allowBlank="false" errorStyle="stop" operator="between" showDropDown="false" showErrorMessage="false" showInputMessage="false" sqref="H6:H205" type="list">
      <formula1>"Long,Short"</formula1>
      <formula2>0</formula2>
    </dataValidation>
    <dataValidation allowBlank="false" errorStyle="stop" operator="between" showDropDown="false" showErrorMessage="false" showInputMessage="false" sqref="J6:J205" type="list">
      <formula1>"Balance,Transition,Imbalance,Trend,Unknown"</formula1>
      <formula2>0</formula2>
    </dataValidation>
    <dataValidation allowBlank="false" errorStyle="stop" operator="between" showDropDown="false" showErrorMessage="false" showInputMessage="false" sqref="AC6:AC205" type="list">
      <formula1>"Yes,No"</formula1>
      <formula2>0</formula2>
    </dataValidation>
    <dataValidation allowBlank="false" errorStyle="stop" operator="between" showDropDown="false" showErrorMessage="false" showInputMessage="false" sqref="AD6:AD205" type="list">
      <formula1>"A,B,C,D,F"</formula1>
      <formula2>0</formula2>
    </dataValidation>
    <dataValidation allowBlank="false" errorStyle="stop" operator="between" showDropDown="false" showErrorMessage="false" showInputMessage="false" sqref="AE6:AE205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5" min="4" style="1" width="16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22"/>
    <col collapsed="false" customWidth="true" hidden="false" outlineLevel="0" max="12" min="9" style="1" width="11"/>
    <col collapsed="false" customWidth="true" hidden="false" outlineLevel="0" max="15" min="13" style="1" width="10"/>
    <col collapsed="false" customWidth="true" hidden="false" outlineLevel="0" max="20" min="16" style="1" width="12"/>
    <col collapsed="false" customWidth="true" hidden="false" outlineLevel="0" max="24" min="21" style="1" width="11"/>
    <col collapsed="false" customWidth="true" hidden="false" outlineLevel="0" max="25" min="25" style="1" width="26"/>
    <col collapsed="false" customWidth="true" hidden="false" outlineLevel="0" max="26" min="26" style="1" width="28"/>
    <col collapsed="false" customWidth="true" hidden="false" outlineLevel="0" max="27" min="27" style="1" width="42"/>
    <col collapsed="false" customWidth="true" hidden="false" outlineLevel="0" max="30" min="28" style="1" width="12"/>
  </cols>
  <sheetData>
    <row r="1" customFormat="false" ht="32" hidden="false" customHeight="true" outlineLevel="0" collapsed="false">
      <c r="A1" s="2" t="s">
        <v>110</v>
      </c>
      <c r="B1" s="2" t="s">
        <v>110</v>
      </c>
      <c r="C1" s="2" t="s">
        <v>110</v>
      </c>
      <c r="D1" s="2" t="s">
        <v>110</v>
      </c>
      <c r="E1" s="2" t="s">
        <v>110</v>
      </c>
      <c r="F1" s="2" t="s">
        <v>110</v>
      </c>
      <c r="G1" s="2" t="s">
        <v>110</v>
      </c>
      <c r="H1" s="2" t="s">
        <v>110</v>
      </c>
      <c r="I1" s="2" t="s">
        <v>110</v>
      </c>
      <c r="J1" s="2" t="s">
        <v>110</v>
      </c>
      <c r="K1" s="2" t="s">
        <v>110</v>
      </c>
      <c r="L1" s="2" t="s">
        <v>110</v>
      </c>
      <c r="M1" s="2" t="s">
        <v>110</v>
      </c>
      <c r="N1" s="2" t="s">
        <v>110</v>
      </c>
      <c r="O1" s="2" t="s">
        <v>110</v>
      </c>
      <c r="P1" s="2" t="s">
        <v>110</v>
      </c>
      <c r="Q1" s="2" t="s">
        <v>110</v>
      </c>
      <c r="R1" s="2" t="s">
        <v>110</v>
      </c>
      <c r="S1" s="2" t="s">
        <v>110</v>
      </c>
      <c r="T1" s="2" t="s">
        <v>110</v>
      </c>
      <c r="U1" s="2" t="s">
        <v>110</v>
      </c>
      <c r="V1" s="2" t="s">
        <v>110</v>
      </c>
      <c r="W1" s="2" t="s">
        <v>110</v>
      </c>
      <c r="X1" s="2" t="s">
        <v>110</v>
      </c>
      <c r="Y1" s="2" t="s">
        <v>110</v>
      </c>
      <c r="Z1" s="2" t="s">
        <v>110</v>
      </c>
      <c r="AA1" s="2" t="s">
        <v>110</v>
      </c>
      <c r="AB1" s="2" t="s">
        <v>110</v>
      </c>
      <c r="AC1" s="2" t="s">
        <v>110</v>
      </c>
      <c r="AD1" s="2" t="s">
        <v>110</v>
      </c>
    </row>
    <row r="2" customFormat="false" ht="28" hidden="false" customHeight="true" outlineLevel="0" collapsed="false">
      <c r="A2" s="3" t="s">
        <v>111</v>
      </c>
      <c r="B2" s="3" t="s">
        <v>111</v>
      </c>
      <c r="C2" s="3" t="s">
        <v>111</v>
      </c>
      <c r="D2" s="3" t="s">
        <v>111</v>
      </c>
      <c r="E2" s="3" t="s">
        <v>111</v>
      </c>
      <c r="F2" s="3" t="s">
        <v>111</v>
      </c>
      <c r="G2" s="3" t="s">
        <v>111</v>
      </c>
      <c r="H2" s="3" t="s">
        <v>111</v>
      </c>
      <c r="I2" s="3" t="s">
        <v>111</v>
      </c>
      <c r="J2" s="3" t="s">
        <v>111</v>
      </c>
      <c r="K2" s="3" t="s">
        <v>111</v>
      </c>
      <c r="L2" s="3" t="s">
        <v>111</v>
      </c>
      <c r="M2" s="3" t="s">
        <v>111</v>
      </c>
      <c r="N2" s="3" t="s">
        <v>111</v>
      </c>
      <c r="O2" s="3" t="s">
        <v>111</v>
      </c>
      <c r="P2" s="3" t="s">
        <v>111</v>
      </c>
      <c r="Q2" s="3" t="s">
        <v>111</v>
      </c>
      <c r="R2" s="3" t="s">
        <v>111</v>
      </c>
      <c r="S2" s="3" t="s">
        <v>111</v>
      </c>
      <c r="T2" s="3" t="s">
        <v>111</v>
      </c>
      <c r="U2" s="3" t="s">
        <v>111</v>
      </c>
      <c r="V2" s="3" t="s">
        <v>111</v>
      </c>
      <c r="W2" s="3" t="s">
        <v>111</v>
      </c>
      <c r="X2" s="3" t="s">
        <v>111</v>
      </c>
      <c r="Y2" s="3" t="s">
        <v>111</v>
      </c>
      <c r="Z2" s="3" t="s">
        <v>111</v>
      </c>
      <c r="AA2" s="3" t="s">
        <v>111</v>
      </c>
      <c r="AB2" s="3" t="s">
        <v>111</v>
      </c>
      <c r="AC2" s="3" t="s">
        <v>111</v>
      </c>
      <c r="AD2" s="3" t="s">
        <v>111</v>
      </c>
    </row>
    <row r="4" customFormat="false" ht="15" hidden="false" customHeight="true" outlineLevel="0" collapsed="false">
      <c r="A4" s="31" t="s">
        <v>112</v>
      </c>
      <c r="B4" s="31" t="s">
        <v>112</v>
      </c>
      <c r="C4" s="31" t="s">
        <v>112</v>
      </c>
      <c r="D4" s="31" t="s">
        <v>112</v>
      </c>
      <c r="E4" s="31" t="s">
        <v>112</v>
      </c>
      <c r="F4" s="31" t="s">
        <v>112</v>
      </c>
      <c r="G4" s="31" t="s">
        <v>112</v>
      </c>
      <c r="H4" s="31" t="s">
        <v>112</v>
      </c>
      <c r="I4" s="31" t="s">
        <v>112</v>
      </c>
      <c r="J4" s="31" t="s">
        <v>112</v>
      </c>
      <c r="K4" s="31" t="s">
        <v>112</v>
      </c>
      <c r="L4" s="31" t="s">
        <v>112</v>
      </c>
      <c r="M4" s="31" t="s">
        <v>112</v>
      </c>
      <c r="N4" s="31" t="s">
        <v>112</v>
      </c>
      <c r="O4" s="31" t="s">
        <v>112</v>
      </c>
      <c r="P4" s="31" t="s">
        <v>112</v>
      </c>
      <c r="Q4" s="31" t="s">
        <v>112</v>
      </c>
      <c r="R4" s="31" t="s">
        <v>112</v>
      </c>
      <c r="S4" s="31" t="s">
        <v>112</v>
      </c>
      <c r="T4" s="31" t="s">
        <v>112</v>
      </c>
      <c r="U4" s="31" t="s">
        <v>112</v>
      </c>
      <c r="V4" s="31" t="s">
        <v>112</v>
      </c>
      <c r="W4" s="31" t="s">
        <v>112</v>
      </c>
      <c r="X4" s="31" t="s">
        <v>112</v>
      </c>
      <c r="Y4" s="31" t="s">
        <v>112</v>
      </c>
      <c r="Z4" s="31" t="s">
        <v>112</v>
      </c>
      <c r="AA4" s="31" t="s">
        <v>112</v>
      </c>
      <c r="AB4" s="31" t="s">
        <v>112</v>
      </c>
      <c r="AC4" s="31" t="s">
        <v>112</v>
      </c>
      <c r="AD4" s="31" t="s">
        <v>112</v>
      </c>
    </row>
    <row r="5" customFormat="false" ht="34" hidden="false" customHeight="true" outlineLevel="0" collapsed="false">
      <c r="A5" s="32" t="s">
        <v>113</v>
      </c>
      <c r="B5" s="33" t="s">
        <v>75</v>
      </c>
      <c r="C5" s="33" t="s">
        <v>78</v>
      </c>
      <c r="D5" s="33" t="s">
        <v>82</v>
      </c>
      <c r="E5" s="33" t="s">
        <v>114</v>
      </c>
      <c r="F5" s="33" t="s">
        <v>81</v>
      </c>
      <c r="G5" s="33" t="s">
        <v>83</v>
      </c>
      <c r="H5" s="33" t="s">
        <v>84</v>
      </c>
      <c r="I5" s="33" t="s">
        <v>115</v>
      </c>
      <c r="J5" s="33" t="s">
        <v>116</v>
      </c>
      <c r="K5" s="33" t="s">
        <v>34</v>
      </c>
      <c r="L5" s="33" t="s">
        <v>117</v>
      </c>
      <c r="M5" s="33" t="s">
        <v>91</v>
      </c>
      <c r="N5" s="33" t="s">
        <v>92</v>
      </c>
      <c r="O5" s="33" t="s">
        <v>93</v>
      </c>
      <c r="P5" s="33" t="s">
        <v>94</v>
      </c>
      <c r="Q5" s="33" t="s">
        <v>95</v>
      </c>
      <c r="R5" s="33" t="s">
        <v>96</v>
      </c>
      <c r="S5" s="33" t="s">
        <v>9</v>
      </c>
      <c r="T5" s="33" t="s">
        <v>97</v>
      </c>
      <c r="U5" s="33" t="s">
        <v>98</v>
      </c>
      <c r="V5" s="33" t="s">
        <v>99</v>
      </c>
      <c r="W5" s="33" t="s">
        <v>100</v>
      </c>
      <c r="X5" s="33" t="s">
        <v>118</v>
      </c>
      <c r="Y5" s="33" t="s">
        <v>119</v>
      </c>
      <c r="Z5" s="33" t="s">
        <v>120</v>
      </c>
      <c r="AA5" s="33" t="s">
        <v>37</v>
      </c>
      <c r="AB5" s="33" t="s">
        <v>107</v>
      </c>
      <c r="AC5" s="33" t="s">
        <v>108</v>
      </c>
      <c r="AD5" s="34" t="s">
        <v>109</v>
      </c>
    </row>
    <row r="6" customFormat="false" ht="15" hidden="false" customHeight="false" outlineLevel="0" collapsed="false">
      <c r="A6" s="35"/>
      <c r="B6" s="36"/>
      <c r="C6" s="35"/>
      <c r="D6" s="35"/>
      <c r="E6" s="35"/>
      <c r="F6" s="35"/>
      <c r="G6" s="35"/>
      <c r="H6" s="35"/>
      <c r="I6" s="38"/>
      <c r="J6" s="38"/>
      <c r="K6" s="38"/>
      <c r="L6" s="38"/>
      <c r="M6" s="39"/>
      <c r="N6" s="40" t="str">
        <f aca="false">IF(C6="","",IFERROR(VLOOKUP(C6,Lists!$A$5:$C$8,2,FALSE()),""))</f>
        <v/>
      </c>
      <c r="O6" s="40" t="str">
        <f aca="false">IF(C6="","",IFERROR(VLOOKUP(C6,Lists!$A$5:$C$8,3,FALSE()),""))</f>
        <v/>
      </c>
      <c r="P6" s="41"/>
      <c r="Q6" s="41"/>
      <c r="R6" s="42" t="str">
        <f aca="false">IF(OR(I6="",L6="",M6="",N6="",O6=""),"",IF(F6="Long",(L6-I6)/N6*O6*M6,IF(F6="Short",(I6-L6)/N6*O6*M6,"")))</f>
        <v/>
      </c>
      <c r="S6" s="42" t="str">
        <f aca="false">IF(R6="","",R6-P6-Q6)</f>
        <v/>
      </c>
      <c r="T6" s="42" t="str">
        <f aca="false">IF(OR(I6="",J6="",M6="",N6="",O6=""),"",ABS(I6-J6)/N6*O6*M6+P6+Q6)</f>
        <v/>
      </c>
      <c r="U6" s="43" t="str">
        <f aca="false">IF(OR(S6="",T6="",T6=0),"",S6/T6)</f>
        <v/>
      </c>
      <c r="V6" s="41"/>
      <c r="W6" s="41"/>
      <c r="X6" s="35"/>
      <c r="Y6" s="35"/>
      <c r="Z6" s="35"/>
      <c r="AA6" s="35"/>
      <c r="AB6" s="43" t="str">
        <f aca="false">IF(OR(B6="",X6&lt;&gt;"Yes"),"",SUMIFS($U$6:U6,$X$6:X6,"Yes"))</f>
        <v/>
      </c>
      <c r="AC6" s="43" t="str">
        <f aca="false">IF(AB6="","",MAX($AB$6:AB6))</f>
        <v/>
      </c>
      <c r="AD6" s="43" t="str">
        <f aca="false">IF(AB6="","",AB6-AC6)</f>
        <v/>
      </c>
    </row>
    <row r="7" customFormat="false" ht="15" hidden="false" customHeight="false" outlineLevel="0" collapsed="false">
      <c r="A7" s="44"/>
      <c r="B7" s="45"/>
      <c r="C7" s="44"/>
      <c r="D7" s="44"/>
      <c r="E7" s="44"/>
      <c r="F7" s="44"/>
      <c r="G7" s="44"/>
      <c r="H7" s="44"/>
      <c r="I7" s="47"/>
      <c r="J7" s="47"/>
      <c r="K7" s="47"/>
      <c r="L7" s="47"/>
      <c r="M7" s="48"/>
      <c r="N7" s="49" t="str">
        <f aca="false">IF(C7="","",IFERROR(VLOOKUP(C7,Lists!$A$5:$C$8,2,FALSE()),""))</f>
        <v/>
      </c>
      <c r="O7" s="49" t="str">
        <f aca="false">IF(C7="","",IFERROR(VLOOKUP(C7,Lists!$A$5:$C$8,3,FALSE()),""))</f>
        <v/>
      </c>
      <c r="P7" s="50"/>
      <c r="Q7" s="50"/>
      <c r="R7" s="51" t="str">
        <f aca="false">IF(OR(I7="",L7="",M7="",N7="",O7=""),"",IF(F7="Long",(L7-I7)/N7*O7*M7,IF(F7="Short",(I7-L7)/N7*O7*M7,"")))</f>
        <v/>
      </c>
      <c r="S7" s="51" t="str">
        <f aca="false">IF(R7="","",R7-P7-Q7)</f>
        <v/>
      </c>
      <c r="T7" s="51" t="str">
        <f aca="false">IF(OR(I7="",J7="",M7="",N7="",O7=""),"",ABS(I7-J7)/N7*O7*M7+P7+Q7)</f>
        <v/>
      </c>
      <c r="U7" s="52" t="str">
        <f aca="false">IF(OR(S7="",T7="",T7=0),"",S7/T7)</f>
        <v/>
      </c>
      <c r="V7" s="50"/>
      <c r="W7" s="50"/>
      <c r="X7" s="44"/>
      <c r="Y7" s="44"/>
      <c r="Z7" s="44"/>
      <c r="AA7" s="44"/>
      <c r="AB7" s="52" t="str">
        <f aca="false">IF(OR(B7="",X7&lt;&gt;"Yes"),"",SUMIFS($U$6:U7,$X$6:X7,"Yes"))</f>
        <v/>
      </c>
      <c r="AC7" s="52" t="str">
        <f aca="false">IF(AB7="","",MAX($AB$6:AB7))</f>
        <v/>
      </c>
      <c r="AD7" s="52" t="str">
        <f aca="false">IF(AB7="","",AB7-AC7)</f>
        <v/>
      </c>
    </row>
    <row r="8" customFormat="false" ht="15" hidden="false" customHeight="false" outlineLevel="0" collapsed="false">
      <c r="A8" s="44"/>
      <c r="B8" s="45"/>
      <c r="C8" s="44"/>
      <c r="D8" s="44"/>
      <c r="E8" s="44"/>
      <c r="F8" s="44"/>
      <c r="G8" s="44"/>
      <c r="H8" s="44"/>
      <c r="I8" s="47"/>
      <c r="J8" s="47"/>
      <c r="K8" s="47"/>
      <c r="L8" s="47"/>
      <c r="M8" s="48"/>
      <c r="N8" s="49" t="str">
        <f aca="false">IF(C8="","",IFERROR(VLOOKUP(C8,Lists!$A$5:$C$8,2,FALSE()),""))</f>
        <v/>
      </c>
      <c r="O8" s="49" t="str">
        <f aca="false">IF(C8="","",IFERROR(VLOOKUP(C8,Lists!$A$5:$C$8,3,FALSE()),""))</f>
        <v/>
      </c>
      <c r="P8" s="50"/>
      <c r="Q8" s="50"/>
      <c r="R8" s="51" t="str">
        <f aca="false">IF(OR(I8="",L8="",M8="",N8="",O8=""),"",IF(F8="Long",(L8-I8)/N8*O8*M8,IF(F8="Short",(I8-L8)/N8*O8*M8,"")))</f>
        <v/>
      </c>
      <c r="S8" s="51" t="str">
        <f aca="false">IF(R8="","",R8-P8-Q8)</f>
        <v/>
      </c>
      <c r="T8" s="51" t="str">
        <f aca="false">IF(OR(I8="",J8="",M8="",N8="",O8=""),"",ABS(I8-J8)/N8*O8*M8+P8+Q8)</f>
        <v/>
      </c>
      <c r="U8" s="52" t="str">
        <f aca="false">IF(OR(S8="",T8="",T8=0),"",S8/T8)</f>
        <v/>
      </c>
      <c r="V8" s="50"/>
      <c r="W8" s="50"/>
      <c r="X8" s="44"/>
      <c r="Y8" s="44"/>
      <c r="Z8" s="44"/>
      <c r="AA8" s="44"/>
      <c r="AB8" s="52" t="str">
        <f aca="false">IF(OR(B8="",X8&lt;&gt;"Yes"),"",SUMIFS($U$6:U8,$X$6:X8,"Yes"))</f>
        <v/>
      </c>
      <c r="AC8" s="52" t="str">
        <f aca="false">IF(AB8="","",MAX($AB$6:AB8))</f>
        <v/>
      </c>
      <c r="AD8" s="52" t="str">
        <f aca="false">IF(AB8="","",AB8-AC8)</f>
        <v/>
      </c>
    </row>
    <row r="9" customFormat="false" ht="15" hidden="false" customHeight="false" outlineLevel="0" collapsed="false">
      <c r="A9" s="44"/>
      <c r="B9" s="45"/>
      <c r="C9" s="44"/>
      <c r="D9" s="44"/>
      <c r="E9" s="44"/>
      <c r="F9" s="44"/>
      <c r="G9" s="44"/>
      <c r="H9" s="44"/>
      <c r="I9" s="47"/>
      <c r="J9" s="47"/>
      <c r="K9" s="47"/>
      <c r="L9" s="47"/>
      <c r="M9" s="48"/>
      <c r="N9" s="49" t="str">
        <f aca="false">IF(C9="","",IFERROR(VLOOKUP(C9,Lists!$A$5:$C$8,2,FALSE()),""))</f>
        <v/>
      </c>
      <c r="O9" s="49" t="str">
        <f aca="false">IF(C9="","",IFERROR(VLOOKUP(C9,Lists!$A$5:$C$8,3,FALSE()),""))</f>
        <v/>
      </c>
      <c r="P9" s="50"/>
      <c r="Q9" s="50"/>
      <c r="R9" s="51" t="str">
        <f aca="false">IF(OR(I9="",L9="",M9="",N9="",O9=""),"",IF(F9="Long",(L9-I9)/N9*O9*M9,IF(F9="Short",(I9-L9)/N9*O9*M9,"")))</f>
        <v/>
      </c>
      <c r="S9" s="51" t="str">
        <f aca="false">IF(R9="","",R9-P9-Q9)</f>
        <v/>
      </c>
      <c r="T9" s="51" t="str">
        <f aca="false">IF(OR(I9="",J9="",M9="",N9="",O9=""),"",ABS(I9-J9)/N9*O9*M9+P9+Q9)</f>
        <v/>
      </c>
      <c r="U9" s="52" t="str">
        <f aca="false">IF(OR(S9="",T9="",T9=0),"",S9/T9)</f>
        <v/>
      </c>
      <c r="V9" s="50"/>
      <c r="W9" s="50"/>
      <c r="X9" s="44"/>
      <c r="Y9" s="44"/>
      <c r="Z9" s="44"/>
      <c r="AA9" s="44"/>
      <c r="AB9" s="52" t="str">
        <f aca="false">IF(OR(B9="",X9&lt;&gt;"Yes"),"",SUMIFS($U$6:U9,$X$6:X9,"Yes"))</f>
        <v/>
      </c>
      <c r="AC9" s="52" t="str">
        <f aca="false">IF(AB9="","",MAX($AB$6:AB9))</f>
        <v/>
      </c>
      <c r="AD9" s="52" t="str">
        <f aca="false">IF(AB9="","",AB9-AC9)</f>
        <v/>
      </c>
    </row>
    <row r="10" customFormat="false" ht="15" hidden="false" customHeight="false" outlineLevel="0" collapsed="false">
      <c r="A10" s="44"/>
      <c r="B10" s="45"/>
      <c r="C10" s="44"/>
      <c r="D10" s="44"/>
      <c r="E10" s="44"/>
      <c r="F10" s="44"/>
      <c r="G10" s="44"/>
      <c r="H10" s="44"/>
      <c r="I10" s="47"/>
      <c r="J10" s="47"/>
      <c r="K10" s="47"/>
      <c r="L10" s="47"/>
      <c r="M10" s="48"/>
      <c r="N10" s="49" t="str">
        <f aca="false">IF(C10="","",IFERROR(VLOOKUP(C10,Lists!$A$5:$C$8,2,FALSE()),""))</f>
        <v/>
      </c>
      <c r="O10" s="49" t="str">
        <f aca="false">IF(C10="","",IFERROR(VLOOKUP(C10,Lists!$A$5:$C$8,3,FALSE()),""))</f>
        <v/>
      </c>
      <c r="P10" s="50"/>
      <c r="Q10" s="50"/>
      <c r="R10" s="51" t="str">
        <f aca="false">IF(OR(I10="",L10="",M10="",N10="",O10=""),"",IF(F10="Long",(L10-I10)/N10*O10*M10,IF(F10="Short",(I10-L10)/N10*O10*M10,"")))</f>
        <v/>
      </c>
      <c r="S10" s="51" t="str">
        <f aca="false">IF(R10="","",R10-P10-Q10)</f>
        <v/>
      </c>
      <c r="T10" s="51" t="str">
        <f aca="false">IF(OR(I10="",J10="",M10="",N10="",O10=""),"",ABS(I10-J10)/N10*O10*M10+P10+Q10)</f>
        <v/>
      </c>
      <c r="U10" s="52" t="str">
        <f aca="false">IF(OR(S10="",T10="",T10=0),"",S10/T10)</f>
        <v/>
      </c>
      <c r="V10" s="50"/>
      <c r="W10" s="50"/>
      <c r="X10" s="44"/>
      <c r="Y10" s="44"/>
      <c r="Z10" s="44"/>
      <c r="AA10" s="44"/>
      <c r="AB10" s="52" t="str">
        <f aca="false">IF(OR(B10="",X10&lt;&gt;"Yes"),"",SUMIFS($U$6:U10,$X$6:X10,"Yes"))</f>
        <v/>
      </c>
      <c r="AC10" s="52" t="str">
        <f aca="false">IF(AB10="","",MAX($AB$6:AB10))</f>
        <v/>
      </c>
      <c r="AD10" s="52" t="str">
        <f aca="false">IF(AB10="","",AB10-AC10)</f>
        <v/>
      </c>
    </row>
    <row r="11" customFormat="false" ht="15" hidden="false" customHeight="false" outlineLevel="0" collapsed="false">
      <c r="A11" s="44"/>
      <c r="B11" s="45"/>
      <c r="C11" s="44"/>
      <c r="D11" s="44"/>
      <c r="E11" s="44"/>
      <c r="F11" s="44"/>
      <c r="G11" s="44"/>
      <c r="H11" s="44"/>
      <c r="I11" s="47"/>
      <c r="J11" s="47"/>
      <c r="K11" s="47"/>
      <c r="L11" s="47"/>
      <c r="M11" s="48"/>
      <c r="N11" s="49" t="str">
        <f aca="false">IF(C11="","",IFERROR(VLOOKUP(C11,Lists!$A$5:$C$8,2,FALSE()),""))</f>
        <v/>
      </c>
      <c r="O11" s="49" t="str">
        <f aca="false">IF(C11="","",IFERROR(VLOOKUP(C11,Lists!$A$5:$C$8,3,FALSE()),""))</f>
        <v/>
      </c>
      <c r="P11" s="50"/>
      <c r="Q11" s="50"/>
      <c r="R11" s="51" t="str">
        <f aca="false">IF(OR(I11="",L11="",M11="",N11="",O11=""),"",IF(F11="Long",(L11-I11)/N11*O11*M11,IF(F11="Short",(I11-L11)/N11*O11*M11,"")))</f>
        <v/>
      </c>
      <c r="S11" s="51" t="str">
        <f aca="false">IF(R11="","",R11-P11-Q11)</f>
        <v/>
      </c>
      <c r="T11" s="51" t="str">
        <f aca="false">IF(OR(I11="",J11="",M11="",N11="",O11=""),"",ABS(I11-J11)/N11*O11*M11+P11+Q11)</f>
        <v/>
      </c>
      <c r="U11" s="52" t="str">
        <f aca="false">IF(OR(S11="",T11="",T11=0),"",S11/T11)</f>
        <v/>
      </c>
      <c r="V11" s="50"/>
      <c r="W11" s="50"/>
      <c r="X11" s="44"/>
      <c r="Y11" s="44"/>
      <c r="Z11" s="44"/>
      <c r="AA11" s="44"/>
      <c r="AB11" s="52" t="str">
        <f aca="false">IF(OR(B11="",X11&lt;&gt;"Yes"),"",SUMIFS($U$6:U11,$X$6:X11,"Yes"))</f>
        <v/>
      </c>
      <c r="AC11" s="52" t="str">
        <f aca="false">IF(AB11="","",MAX($AB$6:AB11))</f>
        <v/>
      </c>
      <c r="AD11" s="52" t="str">
        <f aca="false">IF(AB11="","",AB11-AC11)</f>
        <v/>
      </c>
    </row>
    <row r="12" customFormat="false" ht="15" hidden="false" customHeight="false" outlineLevel="0" collapsed="false">
      <c r="A12" s="44"/>
      <c r="B12" s="45"/>
      <c r="C12" s="44"/>
      <c r="D12" s="44"/>
      <c r="E12" s="44"/>
      <c r="F12" s="44"/>
      <c r="G12" s="44"/>
      <c r="H12" s="44"/>
      <c r="I12" s="47"/>
      <c r="J12" s="47"/>
      <c r="K12" s="47"/>
      <c r="L12" s="47"/>
      <c r="M12" s="48"/>
      <c r="N12" s="49" t="str">
        <f aca="false">IF(C12="","",IFERROR(VLOOKUP(C12,Lists!$A$5:$C$8,2,FALSE()),""))</f>
        <v/>
      </c>
      <c r="O12" s="49" t="str">
        <f aca="false">IF(C12="","",IFERROR(VLOOKUP(C12,Lists!$A$5:$C$8,3,FALSE()),""))</f>
        <v/>
      </c>
      <c r="P12" s="50"/>
      <c r="Q12" s="50"/>
      <c r="R12" s="51" t="str">
        <f aca="false">IF(OR(I12="",L12="",M12="",N12="",O12=""),"",IF(F12="Long",(L12-I12)/N12*O12*M12,IF(F12="Short",(I12-L12)/N12*O12*M12,"")))</f>
        <v/>
      </c>
      <c r="S12" s="51" t="str">
        <f aca="false">IF(R12="","",R12-P12-Q12)</f>
        <v/>
      </c>
      <c r="T12" s="51" t="str">
        <f aca="false">IF(OR(I12="",J12="",M12="",N12="",O12=""),"",ABS(I12-J12)/N12*O12*M12+P12+Q12)</f>
        <v/>
      </c>
      <c r="U12" s="52" t="str">
        <f aca="false">IF(OR(S12="",T12="",T12=0),"",S12/T12)</f>
        <v/>
      </c>
      <c r="V12" s="50"/>
      <c r="W12" s="50"/>
      <c r="X12" s="44"/>
      <c r="Y12" s="44"/>
      <c r="Z12" s="44"/>
      <c r="AA12" s="44"/>
      <c r="AB12" s="52" t="str">
        <f aca="false">IF(OR(B12="",X12&lt;&gt;"Yes"),"",SUMIFS($U$6:U12,$X$6:X12,"Yes"))</f>
        <v/>
      </c>
      <c r="AC12" s="52" t="str">
        <f aca="false">IF(AB12="","",MAX($AB$6:AB12))</f>
        <v/>
      </c>
      <c r="AD12" s="52" t="str">
        <f aca="false">IF(AB12="","",AB12-AC12)</f>
        <v/>
      </c>
    </row>
    <row r="13" customFormat="false" ht="15" hidden="false" customHeight="false" outlineLevel="0" collapsed="false">
      <c r="A13" s="44"/>
      <c r="B13" s="45"/>
      <c r="C13" s="44"/>
      <c r="D13" s="44"/>
      <c r="E13" s="44"/>
      <c r="F13" s="44"/>
      <c r="G13" s="44"/>
      <c r="H13" s="44"/>
      <c r="I13" s="47"/>
      <c r="J13" s="47"/>
      <c r="K13" s="47"/>
      <c r="L13" s="47"/>
      <c r="M13" s="48"/>
      <c r="N13" s="49" t="str">
        <f aca="false">IF(C13="","",IFERROR(VLOOKUP(C13,Lists!$A$5:$C$8,2,FALSE()),""))</f>
        <v/>
      </c>
      <c r="O13" s="49" t="str">
        <f aca="false">IF(C13="","",IFERROR(VLOOKUP(C13,Lists!$A$5:$C$8,3,FALSE()),""))</f>
        <v/>
      </c>
      <c r="P13" s="50"/>
      <c r="Q13" s="50"/>
      <c r="R13" s="51" t="str">
        <f aca="false">IF(OR(I13="",L13="",M13="",N13="",O13=""),"",IF(F13="Long",(L13-I13)/N13*O13*M13,IF(F13="Short",(I13-L13)/N13*O13*M13,"")))</f>
        <v/>
      </c>
      <c r="S13" s="51" t="str">
        <f aca="false">IF(R13="","",R13-P13-Q13)</f>
        <v/>
      </c>
      <c r="T13" s="51" t="str">
        <f aca="false">IF(OR(I13="",J13="",M13="",N13="",O13=""),"",ABS(I13-J13)/N13*O13*M13+P13+Q13)</f>
        <v/>
      </c>
      <c r="U13" s="52" t="str">
        <f aca="false">IF(OR(S13="",T13="",T13=0),"",S13/T13)</f>
        <v/>
      </c>
      <c r="V13" s="50"/>
      <c r="W13" s="50"/>
      <c r="X13" s="44"/>
      <c r="Y13" s="44"/>
      <c r="Z13" s="44"/>
      <c r="AA13" s="44"/>
      <c r="AB13" s="52" t="str">
        <f aca="false">IF(OR(B13="",X13&lt;&gt;"Yes"),"",SUMIFS($U$6:U13,$X$6:X13,"Yes"))</f>
        <v/>
      </c>
      <c r="AC13" s="52" t="str">
        <f aca="false">IF(AB13="","",MAX($AB$6:AB13))</f>
        <v/>
      </c>
      <c r="AD13" s="52" t="str">
        <f aca="false">IF(AB13="","",AB13-AC13)</f>
        <v/>
      </c>
    </row>
    <row r="14" customFormat="false" ht="15" hidden="false" customHeight="false" outlineLevel="0" collapsed="false">
      <c r="A14" s="44"/>
      <c r="B14" s="45"/>
      <c r="C14" s="44"/>
      <c r="D14" s="44"/>
      <c r="E14" s="44"/>
      <c r="F14" s="44"/>
      <c r="G14" s="44"/>
      <c r="H14" s="44"/>
      <c r="I14" s="47"/>
      <c r="J14" s="47"/>
      <c r="K14" s="47"/>
      <c r="L14" s="47"/>
      <c r="M14" s="48"/>
      <c r="N14" s="49" t="str">
        <f aca="false">IF(C14="","",IFERROR(VLOOKUP(C14,Lists!$A$5:$C$8,2,FALSE()),""))</f>
        <v/>
      </c>
      <c r="O14" s="49" t="str">
        <f aca="false">IF(C14="","",IFERROR(VLOOKUP(C14,Lists!$A$5:$C$8,3,FALSE()),""))</f>
        <v/>
      </c>
      <c r="P14" s="50"/>
      <c r="Q14" s="50"/>
      <c r="R14" s="51" t="str">
        <f aca="false">IF(OR(I14="",L14="",M14="",N14="",O14=""),"",IF(F14="Long",(L14-I14)/N14*O14*M14,IF(F14="Short",(I14-L14)/N14*O14*M14,"")))</f>
        <v/>
      </c>
      <c r="S14" s="51" t="str">
        <f aca="false">IF(R14="","",R14-P14-Q14)</f>
        <v/>
      </c>
      <c r="T14" s="51" t="str">
        <f aca="false">IF(OR(I14="",J14="",M14="",N14="",O14=""),"",ABS(I14-J14)/N14*O14*M14+P14+Q14)</f>
        <v/>
      </c>
      <c r="U14" s="52" t="str">
        <f aca="false">IF(OR(S14="",T14="",T14=0),"",S14/T14)</f>
        <v/>
      </c>
      <c r="V14" s="50"/>
      <c r="W14" s="50"/>
      <c r="X14" s="44"/>
      <c r="Y14" s="44"/>
      <c r="Z14" s="44"/>
      <c r="AA14" s="44"/>
      <c r="AB14" s="52" t="str">
        <f aca="false">IF(OR(B14="",X14&lt;&gt;"Yes"),"",SUMIFS($U$6:U14,$X$6:X14,"Yes"))</f>
        <v/>
      </c>
      <c r="AC14" s="52" t="str">
        <f aca="false">IF(AB14="","",MAX($AB$6:AB14))</f>
        <v/>
      </c>
      <c r="AD14" s="52" t="str">
        <f aca="false">IF(AB14="","",AB14-AC14)</f>
        <v/>
      </c>
    </row>
    <row r="15" customFormat="false" ht="15" hidden="false" customHeight="false" outlineLevel="0" collapsed="false">
      <c r="A15" s="44"/>
      <c r="B15" s="45"/>
      <c r="C15" s="44"/>
      <c r="D15" s="44"/>
      <c r="E15" s="44"/>
      <c r="F15" s="44"/>
      <c r="G15" s="44"/>
      <c r="H15" s="44"/>
      <c r="I15" s="47"/>
      <c r="J15" s="47"/>
      <c r="K15" s="47"/>
      <c r="L15" s="47"/>
      <c r="M15" s="48"/>
      <c r="N15" s="49" t="str">
        <f aca="false">IF(C15="","",IFERROR(VLOOKUP(C15,Lists!$A$5:$C$8,2,FALSE()),""))</f>
        <v/>
      </c>
      <c r="O15" s="49" t="str">
        <f aca="false">IF(C15="","",IFERROR(VLOOKUP(C15,Lists!$A$5:$C$8,3,FALSE()),""))</f>
        <v/>
      </c>
      <c r="P15" s="50"/>
      <c r="Q15" s="50"/>
      <c r="R15" s="51" t="str">
        <f aca="false">IF(OR(I15="",L15="",M15="",N15="",O15=""),"",IF(F15="Long",(L15-I15)/N15*O15*M15,IF(F15="Short",(I15-L15)/N15*O15*M15,"")))</f>
        <v/>
      </c>
      <c r="S15" s="51" t="str">
        <f aca="false">IF(R15="","",R15-P15-Q15)</f>
        <v/>
      </c>
      <c r="T15" s="51" t="str">
        <f aca="false">IF(OR(I15="",J15="",M15="",N15="",O15=""),"",ABS(I15-J15)/N15*O15*M15+P15+Q15)</f>
        <v/>
      </c>
      <c r="U15" s="52" t="str">
        <f aca="false">IF(OR(S15="",T15="",T15=0),"",S15/T15)</f>
        <v/>
      </c>
      <c r="V15" s="50"/>
      <c r="W15" s="50"/>
      <c r="X15" s="44"/>
      <c r="Y15" s="44"/>
      <c r="Z15" s="44"/>
      <c r="AA15" s="44"/>
      <c r="AB15" s="52" t="str">
        <f aca="false">IF(OR(B15="",X15&lt;&gt;"Yes"),"",SUMIFS($U$6:U15,$X$6:X15,"Yes"))</f>
        <v/>
      </c>
      <c r="AC15" s="52" t="str">
        <f aca="false">IF(AB15="","",MAX($AB$6:AB15))</f>
        <v/>
      </c>
      <c r="AD15" s="52" t="str">
        <f aca="false">IF(AB15="","",AB15-AC15)</f>
        <v/>
      </c>
    </row>
    <row r="16" customFormat="false" ht="15" hidden="false" customHeight="false" outlineLevel="0" collapsed="false">
      <c r="A16" s="44"/>
      <c r="B16" s="45"/>
      <c r="C16" s="44"/>
      <c r="D16" s="44"/>
      <c r="E16" s="44"/>
      <c r="F16" s="44"/>
      <c r="G16" s="44"/>
      <c r="H16" s="44"/>
      <c r="I16" s="47"/>
      <c r="J16" s="47"/>
      <c r="K16" s="47"/>
      <c r="L16" s="47"/>
      <c r="M16" s="48"/>
      <c r="N16" s="49" t="str">
        <f aca="false">IF(C16="","",IFERROR(VLOOKUP(C16,Lists!$A$5:$C$8,2,FALSE()),""))</f>
        <v/>
      </c>
      <c r="O16" s="49" t="str">
        <f aca="false">IF(C16="","",IFERROR(VLOOKUP(C16,Lists!$A$5:$C$8,3,FALSE()),""))</f>
        <v/>
      </c>
      <c r="P16" s="50"/>
      <c r="Q16" s="50"/>
      <c r="R16" s="51" t="str">
        <f aca="false">IF(OR(I16="",L16="",M16="",N16="",O16=""),"",IF(F16="Long",(L16-I16)/N16*O16*M16,IF(F16="Short",(I16-L16)/N16*O16*M16,"")))</f>
        <v/>
      </c>
      <c r="S16" s="51" t="str">
        <f aca="false">IF(R16="","",R16-P16-Q16)</f>
        <v/>
      </c>
      <c r="T16" s="51" t="str">
        <f aca="false">IF(OR(I16="",J16="",M16="",N16="",O16=""),"",ABS(I16-J16)/N16*O16*M16+P16+Q16)</f>
        <v/>
      </c>
      <c r="U16" s="52" t="str">
        <f aca="false">IF(OR(S16="",T16="",T16=0),"",S16/T16)</f>
        <v/>
      </c>
      <c r="V16" s="50"/>
      <c r="W16" s="50"/>
      <c r="X16" s="44"/>
      <c r="Y16" s="44"/>
      <c r="Z16" s="44"/>
      <c r="AA16" s="44"/>
      <c r="AB16" s="52" t="str">
        <f aca="false">IF(OR(B16="",X16&lt;&gt;"Yes"),"",SUMIFS($U$6:U16,$X$6:X16,"Yes"))</f>
        <v/>
      </c>
      <c r="AC16" s="52" t="str">
        <f aca="false">IF(AB16="","",MAX($AB$6:AB16))</f>
        <v/>
      </c>
      <c r="AD16" s="52" t="str">
        <f aca="false">IF(AB16="","",AB16-AC16)</f>
        <v/>
      </c>
    </row>
    <row r="17" customFormat="false" ht="15" hidden="false" customHeight="false" outlineLevel="0" collapsed="false">
      <c r="A17" s="44"/>
      <c r="B17" s="45"/>
      <c r="C17" s="44"/>
      <c r="D17" s="44"/>
      <c r="E17" s="44"/>
      <c r="F17" s="44"/>
      <c r="G17" s="44"/>
      <c r="H17" s="44"/>
      <c r="I17" s="47"/>
      <c r="J17" s="47"/>
      <c r="K17" s="47"/>
      <c r="L17" s="47"/>
      <c r="M17" s="48"/>
      <c r="N17" s="49" t="str">
        <f aca="false">IF(C17="","",IFERROR(VLOOKUP(C17,Lists!$A$5:$C$8,2,FALSE()),""))</f>
        <v/>
      </c>
      <c r="O17" s="49" t="str">
        <f aca="false">IF(C17="","",IFERROR(VLOOKUP(C17,Lists!$A$5:$C$8,3,FALSE()),""))</f>
        <v/>
      </c>
      <c r="P17" s="50"/>
      <c r="Q17" s="50"/>
      <c r="R17" s="51" t="str">
        <f aca="false">IF(OR(I17="",L17="",M17="",N17="",O17=""),"",IF(F17="Long",(L17-I17)/N17*O17*M17,IF(F17="Short",(I17-L17)/N17*O17*M17,"")))</f>
        <v/>
      </c>
      <c r="S17" s="51" t="str">
        <f aca="false">IF(R17="","",R17-P17-Q17)</f>
        <v/>
      </c>
      <c r="T17" s="51" t="str">
        <f aca="false">IF(OR(I17="",J17="",M17="",N17="",O17=""),"",ABS(I17-J17)/N17*O17*M17+P17+Q17)</f>
        <v/>
      </c>
      <c r="U17" s="52" t="str">
        <f aca="false">IF(OR(S17="",T17="",T17=0),"",S17/T17)</f>
        <v/>
      </c>
      <c r="V17" s="50"/>
      <c r="W17" s="50"/>
      <c r="X17" s="44"/>
      <c r="Y17" s="44"/>
      <c r="Z17" s="44"/>
      <c r="AA17" s="44"/>
      <c r="AB17" s="52" t="str">
        <f aca="false">IF(OR(B17="",X17&lt;&gt;"Yes"),"",SUMIFS($U$6:U17,$X$6:X17,"Yes"))</f>
        <v/>
      </c>
      <c r="AC17" s="52" t="str">
        <f aca="false">IF(AB17="","",MAX($AB$6:AB17))</f>
        <v/>
      </c>
      <c r="AD17" s="52" t="str">
        <f aca="false">IF(AB17="","",AB17-AC17)</f>
        <v/>
      </c>
    </row>
    <row r="18" customFormat="false" ht="15" hidden="false" customHeight="false" outlineLevel="0" collapsed="false">
      <c r="A18" s="44"/>
      <c r="B18" s="45"/>
      <c r="C18" s="44"/>
      <c r="D18" s="44"/>
      <c r="E18" s="44"/>
      <c r="F18" s="44"/>
      <c r="G18" s="44"/>
      <c r="H18" s="44"/>
      <c r="I18" s="47"/>
      <c r="J18" s="47"/>
      <c r="K18" s="47"/>
      <c r="L18" s="47"/>
      <c r="M18" s="48"/>
      <c r="N18" s="49" t="str">
        <f aca="false">IF(C18="","",IFERROR(VLOOKUP(C18,Lists!$A$5:$C$8,2,FALSE()),""))</f>
        <v/>
      </c>
      <c r="O18" s="49" t="str">
        <f aca="false">IF(C18="","",IFERROR(VLOOKUP(C18,Lists!$A$5:$C$8,3,FALSE()),""))</f>
        <v/>
      </c>
      <c r="P18" s="50"/>
      <c r="Q18" s="50"/>
      <c r="R18" s="51" t="str">
        <f aca="false">IF(OR(I18="",L18="",M18="",N18="",O18=""),"",IF(F18="Long",(L18-I18)/N18*O18*M18,IF(F18="Short",(I18-L18)/N18*O18*M18,"")))</f>
        <v/>
      </c>
      <c r="S18" s="51" t="str">
        <f aca="false">IF(R18="","",R18-P18-Q18)</f>
        <v/>
      </c>
      <c r="T18" s="51" t="str">
        <f aca="false">IF(OR(I18="",J18="",M18="",N18="",O18=""),"",ABS(I18-J18)/N18*O18*M18+P18+Q18)</f>
        <v/>
      </c>
      <c r="U18" s="52" t="str">
        <f aca="false">IF(OR(S18="",T18="",T18=0),"",S18/T18)</f>
        <v/>
      </c>
      <c r="V18" s="50"/>
      <c r="W18" s="50"/>
      <c r="X18" s="44"/>
      <c r="Y18" s="44"/>
      <c r="Z18" s="44"/>
      <c r="AA18" s="44"/>
      <c r="AB18" s="52" t="str">
        <f aca="false">IF(OR(B18="",X18&lt;&gt;"Yes"),"",SUMIFS($U$6:U18,$X$6:X18,"Yes"))</f>
        <v/>
      </c>
      <c r="AC18" s="52" t="str">
        <f aca="false">IF(AB18="","",MAX($AB$6:AB18))</f>
        <v/>
      </c>
      <c r="AD18" s="52" t="str">
        <f aca="false">IF(AB18="","",AB18-AC18)</f>
        <v/>
      </c>
    </row>
    <row r="19" customFormat="false" ht="15" hidden="false" customHeight="false" outlineLevel="0" collapsed="false">
      <c r="A19" s="44"/>
      <c r="B19" s="45"/>
      <c r="C19" s="44"/>
      <c r="D19" s="44"/>
      <c r="E19" s="44"/>
      <c r="F19" s="44"/>
      <c r="G19" s="44"/>
      <c r="H19" s="44"/>
      <c r="I19" s="47"/>
      <c r="J19" s="47"/>
      <c r="K19" s="47"/>
      <c r="L19" s="47"/>
      <c r="M19" s="48"/>
      <c r="N19" s="49" t="str">
        <f aca="false">IF(C19="","",IFERROR(VLOOKUP(C19,Lists!$A$5:$C$8,2,FALSE()),""))</f>
        <v/>
      </c>
      <c r="O19" s="49" t="str">
        <f aca="false">IF(C19="","",IFERROR(VLOOKUP(C19,Lists!$A$5:$C$8,3,FALSE()),""))</f>
        <v/>
      </c>
      <c r="P19" s="50"/>
      <c r="Q19" s="50"/>
      <c r="R19" s="51" t="str">
        <f aca="false">IF(OR(I19="",L19="",M19="",N19="",O19=""),"",IF(F19="Long",(L19-I19)/N19*O19*M19,IF(F19="Short",(I19-L19)/N19*O19*M19,"")))</f>
        <v/>
      </c>
      <c r="S19" s="51" t="str">
        <f aca="false">IF(R19="","",R19-P19-Q19)</f>
        <v/>
      </c>
      <c r="T19" s="51" t="str">
        <f aca="false">IF(OR(I19="",J19="",M19="",N19="",O19=""),"",ABS(I19-J19)/N19*O19*M19+P19+Q19)</f>
        <v/>
      </c>
      <c r="U19" s="52" t="str">
        <f aca="false">IF(OR(S19="",T19="",T19=0),"",S19/T19)</f>
        <v/>
      </c>
      <c r="V19" s="50"/>
      <c r="W19" s="50"/>
      <c r="X19" s="44"/>
      <c r="Y19" s="44"/>
      <c r="Z19" s="44"/>
      <c r="AA19" s="44"/>
      <c r="AB19" s="52" t="str">
        <f aca="false">IF(OR(B19="",X19&lt;&gt;"Yes"),"",SUMIFS($U$6:U19,$X$6:X19,"Yes"))</f>
        <v/>
      </c>
      <c r="AC19" s="52" t="str">
        <f aca="false">IF(AB19="","",MAX($AB$6:AB19))</f>
        <v/>
      </c>
      <c r="AD19" s="52" t="str">
        <f aca="false">IF(AB19="","",AB19-AC19)</f>
        <v/>
      </c>
    </row>
    <row r="20" customFormat="false" ht="15" hidden="false" customHeight="false" outlineLevel="0" collapsed="false">
      <c r="A20" s="44"/>
      <c r="B20" s="45"/>
      <c r="C20" s="44"/>
      <c r="D20" s="44"/>
      <c r="E20" s="44"/>
      <c r="F20" s="44"/>
      <c r="G20" s="44"/>
      <c r="H20" s="44"/>
      <c r="I20" s="47"/>
      <c r="J20" s="47"/>
      <c r="K20" s="47"/>
      <c r="L20" s="47"/>
      <c r="M20" s="48"/>
      <c r="N20" s="49" t="str">
        <f aca="false">IF(C20="","",IFERROR(VLOOKUP(C20,Lists!$A$5:$C$8,2,FALSE()),""))</f>
        <v/>
      </c>
      <c r="O20" s="49" t="str">
        <f aca="false">IF(C20="","",IFERROR(VLOOKUP(C20,Lists!$A$5:$C$8,3,FALSE()),""))</f>
        <v/>
      </c>
      <c r="P20" s="50"/>
      <c r="Q20" s="50"/>
      <c r="R20" s="51" t="str">
        <f aca="false">IF(OR(I20="",L20="",M20="",N20="",O20=""),"",IF(F20="Long",(L20-I20)/N20*O20*M20,IF(F20="Short",(I20-L20)/N20*O20*M20,"")))</f>
        <v/>
      </c>
      <c r="S20" s="51" t="str">
        <f aca="false">IF(R20="","",R20-P20-Q20)</f>
        <v/>
      </c>
      <c r="T20" s="51" t="str">
        <f aca="false">IF(OR(I20="",J20="",M20="",N20="",O20=""),"",ABS(I20-J20)/N20*O20*M20+P20+Q20)</f>
        <v/>
      </c>
      <c r="U20" s="52" t="str">
        <f aca="false">IF(OR(S20="",T20="",T20=0),"",S20/T20)</f>
        <v/>
      </c>
      <c r="V20" s="50"/>
      <c r="W20" s="50"/>
      <c r="X20" s="44"/>
      <c r="Y20" s="44"/>
      <c r="Z20" s="44"/>
      <c r="AA20" s="44"/>
      <c r="AB20" s="52" t="str">
        <f aca="false">IF(OR(B20="",X20&lt;&gt;"Yes"),"",SUMIFS($U$6:U20,$X$6:X20,"Yes"))</f>
        <v/>
      </c>
      <c r="AC20" s="52" t="str">
        <f aca="false">IF(AB20="","",MAX($AB$6:AB20))</f>
        <v/>
      </c>
      <c r="AD20" s="52" t="str">
        <f aca="false">IF(AB20="","",AB20-AC20)</f>
        <v/>
      </c>
    </row>
    <row r="21" customFormat="false" ht="15" hidden="false" customHeight="false" outlineLevel="0" collapsed="false">
      <c r="A21" s="44"/>
      <c r="B21" s="45"/>
      <c r="C21" s="44"/>
      <c r="D21" s="44"/>
      <c r="E21" s="44"/>
      <c r="F21" s="44"/>
      <c r="G21" s="44"/>
      <c r="H21" s="44"/>
      <c r="I21" s="47"/>
      <c r="J21" s="47"/>
      <c r="K21" s="47"/>
      <c r="L21" s="47"/>
      <c r="M21" s="48"/>
      <c r="N21" s="49" t="str">
        <f aca="false">IF(C21="","",IFERROR(VLOOKUP(C21,Lists!$A$5:$C$8,2,FALSE()),""))</f>
        <v/>
      </c>
      <c r="O21" s="49" t="str">
        <f aca="false">IF(C21="","",IFERROR(VLOOKUP(C21,Lists!$A$5:$C$8,3,FALSE()),""))</f>
        <v/>
      </c>
      <c r="P21" s="50"/>
      <c r="Q21" s="50"/>
      <c r="R21" s="51" t="str">
        <f aca="false">IF(OR(I21="",L21="",M21="",N21="",O21=""),"",IF(F21="Long",(L21-I21)/N21*O21*M21,IF(F21="Short",(I21-L21)/N21*O21*M21,"")))</f>
        <v/>
      </c>
      <c r="S21" s="51" t="str">
        <f aca="false">IF(R21="","",R21-P21-Q21)</f>
        <v/>
      </c>
      <c r="T21" s="51" t="str">
        <f aca="false">IF(OR(I21="",J21="",M21="",N21="",O21=""),"",ABS(I21-J21)/N21*O21*M21+P21+Q21)</f>
        <v/>
      </c>
      <c r="U21" s="52" t="str">
        <f aca="false">IF(OR(S21="",T21="",T21=0),"",S21/T21)</f>
        <v/>
      </c>
      <c r="V21" s="50"/>
      <c r="W21" s="50"/>
      <c r="X21" s="44"/>
      <c r="Y21" s="44"/>
      <c r="Z21" s="44"/>
      <c r="AA21" s="44"/>
      <c r="AB21" s="52" t="str">
        <f aca="false">IF(OR(B21="",X21&lt;&gt;"Yes"),"",SUMIFS($U$6:U21,$X$6:X21,"Yes"))</f>
        <v/>
      </c>
      <c r="AC21" s="52" t="str">
        <f aca="false">IF(AB21="","",MAX($AB$6:AB21))</f>
        <v/>
      </c>
      <c r="AD21" s="52" t="str">
        <f aca="false">IF(AB21="","",AB21-AC21)</f>
        <v/>
      </c>
    </row>
    <row r="22" customFormat="false" ht="15" hidden="false" customHeight="false" outlineLevel="0" collapsed="false">
      <c r="A22" s="44"/>
      <c r="B22" s="45"/>
      <c r="C22" s="44"/>
      <c r="D22" s="44"/>
      <c r="E22" s="44"/>
      <c r="F22" s="44"/>
      <c r="G22" s="44"/>
      <c r="H22" s="44"/>
      <c r="I22" s="47"/>
      <c r="J22" s="47"/>
      <c r="K22" s="47"/>
      <c r="L22" s="47"/>
      <c r="M22" s="48"/>
      <c r="N22" s="49" t="str">
        <f aca="false">IF(C22="","",IFERROR(VLOOKUP(C22,Lists!$A$5:$C$8,2,FALSE()),""))</f>
        <v/>
      </c>
      <c r="O22" s="49" t="str">
        <f aca="false">IF(C22="","",IFERROR(VLOOKUP(C22,Lists!$A$5:$C$8,3,FALSE()),""))</f>
        <v/>
      </c>
      <c r="P22" s="50"/>
      <c r="Q22" s="50"/>
      <c r="R22" s="51" t="str">
        <f aca="false">IF(OR(I22="",L22="",M22="",N22="",O22=""),"",IF(F22="Long",(L22-I22)/N22*O22*M22,IF(F22="Short",(I22-L22)/N22*O22*M22,"")))</f>
        <v/>
      </c>
      <c r="S22" s="51" t="str">
        <f aca="false">IF(R22="","",R22-P22-Q22)</f>
        <v/>
      </c>
      <c r="T22" s="51" t="str">
        <f aca="false">IF(OR(I22="",J22="",M22="",N22="",O22=""),"",ABS(I22-J22)/N22*O22*M22+P22+Q22)</f>
        <v/>
      </c>
      <c r="U22" s="52" t="str">
        <f aca="false">IF(OR(S22="",T22="",T22=0),"",S22/T22)</f>
        <v/>
      </c>
      <c r="V22" s="50"/>
      <c r="W22" s="50"/>
      <c r="X22" s="44"/>
      <c r="Y22" s="44"/>
      <c r="Z22" s="44"/>
      <c r="AA22" s="44"/>
      <c r="AB22" s="52" t="str">
        <f aca="false">IF(OR(B22="",X22&lt;&gt;"Yes"),"",SUMIFS($U$6:U22,$X$6:X22,"Yes"))</f>
        <v/>
      </c>
      <c r="AC22" s="52" t="str">
        <f aca="false">IF(AB22="","",MAX($AB$6:AB22))</f>
        <v/>
      </c>
      <c r="AD22" s="52" t="str">
        <f aca="false">IF(AB22="","",AB22-AC22)</f>
        <v/>
      </c>
    </row>
    <row r="23" customFormat="false" ht="15" hidden="false" customHeight="false" outlineLevel="0" collapsed="false">
      <c r="A23" s="44"/>
      <c r="B23" s="45"/>
      <c r="C23" s="44"/>
      <c r="D23" s="44"/>
      <c r="E23" s="44"/>
      <c r="F23" s="44"/>
      <c r="G23" s="44"/>
      <c r="H23" s="44"/>
      <c r="I23" s="47"/>
      <c r="J23" s="47"/>
      <c r="K23" s="47"/>
      <c r="L23" s="47"/>
      <c r="M23" s="48"/>
      <c r="N23" s="49" t="str">
        <f aca="false">IF(C23="","",IFERROR(VLOOKUP(C23,Lists!$A$5:$C$8,2,FALSE()),""))</f>
        <v/>
      </c>
      <c r="O23" s="49" t="str">
        <f aca="false">IF(C23="","",IFERROR(VLOOKUP(C23,Lists!$A$5:$C$8,3,FALSE()),""))</f>
        <v/>
      </c>
      <c r="P23" s="50"/>
      <c r="Q23" s="50"/>
      <c r="R23" s="51" t="str">
        <f aca="false">IF(OR(I23="",L23="",M23="",N23="",O23=""),"",IF(F23="Long",(L23-I23)/N23*O23*M23,IF(F23="Short",(I23-L23)/N23*O23*M23,"")))</f>
        <v/>
      </c>
      <c r="S23" s="51" t="str">
        <f aca="false">IF(R23="","",R23-P23-Q23)</f>
        <v/>
      </c>
      <c r="T23" s="51" t="str">
        <f aca="false">IF(OR(I23="",J23="",M23="",N23="",O23=""),"",ABS(I23-J23)/N23*O23*M23+P23+Q23)</f>
        <v/>
      </c>
      <c r="U23" s="52" t="str">
        <f aca="false">IF(OR(S23="",T23="",T23=0),"",S23/T23)</f>
        <v/>
      </c>
      <c r="V23" s="50"/>
      <c r="W23" s="50"/>
      <c r="X23" s="44"/>
      <c r="Y23" s="44"/>
      <c r="Z23" s="44"/>
      <c r="AA23" s="44"/>
      <c r="AB23" s="52" t="str">
        <f aca="false">IF(OR(B23="",X23&lt;&gt;"Yes"),"",SUMIFS($U$6:U23,$X$6:X23,"Yes"))</f>
        <v/>
      </c>
      <c r="AC23" s="52" t="str">
        <f aca="false">IF(AB23="","",MAX($AB$6:AB23))</f>
        <v/>
      </c>
      <c r="AD23" s="52" t="str">
        <f aca="false">IF(AB23="","",AB23-AC23)</f>
        <v/>
      </c>
    </row>
    <row r="24" customFormat="false" ht="15" hidden="false" customHeight="false" outlineLevel="0" collapsed="false">
      <c r="A24" s="44"/>
      <c r="B24" s="45"/>
      <c r="C24" s="44"/>
      <c r="D24" s="44"/>
      <c r="E24" s="44"/>
      <c r="F24" s="44"/>
      <c r="G24" s="44"/>
      <c r="H24" s="44"/>
      <c r="I24" s="47"/>
      <c r="J24" s="47"/>
      <c r="K24" s="47"/>
      <c r="L24" s="47"/>
      <c r="M24" s="48"/>
      <c r="N24" s="49" t="str">
        <f aca="false">IF(C24="","",IFERROR(VLOOKUP(C24,Lists!$A$5:$C$8,2,FALSE()),""))</f>
        <v/>
      </c>
      <c r="O24" s="49" t="str">
        <f aca="false">IF(C24="","",IFERROR(VLOOKUP(C24,Lists!$A$5:$C$8,3,FALSE()),""))</f>
        <v/>
      </c>
      <c r="P24" s="50"/>
      <c r="Q24" s="50"/>
      <c r="R24" s="51" t="str">
        <f aca="false">IF(OR(I24="",L24="",M24="",N24="",O24=""),"",IF(F24="Long",(L24-I24)/N24*O24*M24,IF(F24="Short",(I24-L24)/N24*O24*M24,"")))</f>
        <v/>
      </c>
      <c r="S24" s="51" t="str">
        <f aca="false">IF(R24="","",R24-P24-Q24)</f>
        <v/>
      </c>
      <c r="T24" s="51" t="str">
        <f aca="false">IF(OR(I24="",J24="",M24="",N24="",O24=""),"",ABS(I24-J24)/N24*O24*M24+P24+Q24)</f>
        <v/>
      </c>
      <c r="U24" s="52" t="str">
        <f aca="false">IF(OR(S24="",T24="",T24=0),"",S24/T24)</f>
        <v/>
      </c>
      <c r="V24" s="50"/>
      <c r="W24" s="50"/>
      <c r="X24" s="44"/>
      <c r="Y24" s="44"/>
      <c r="Z24" s="44"/>
      <c r="AA24" s="44"/>
      <c r="AB24" s="52" t="str">
        <f aca="false">IF(OR(B24="",X24&lt;&gt;"Yes"),"",SUMIFS($U$6:U24,$X$6:X24,"Yes"))</f>
        <v/>
      </c>
      <c r="AC24" s="52" t="str">
        <f aca="false">IF(AB24="","",MAX($AB$6:AB24))</f>
        <v/>
      </c>
      <c r="AD24" s="52" t="str">
        <f aca="false">IF(AB24="","",AB24-AC24)</f>
        <v/>
      </c>
    </row>
    <row r="25" customFormat="false" ht="15" hidden="false" customHeight="false" outlineLevel="0" collapsed="false">
      <c r="A25" s="44"/>
      <c r="B25" s="45"/>
      <c r="C25" s="44"/>
      <c r="D25" s="44"/>
      <c r="E25" s="44"/>
      <c r="F25" s="44"/>
      <c r="G25" s="44"/>
      <c r="H25" s="44"/>
      <c r="I25" s="47"/>
      <c r="J25" s="47"/>
      <c r="K25" s="47"/>
      <c r="L25" s="47"/>
      <c r="M25" s="48"/>
      <c r="N25" s="49" t="str">
        <f aca="false">IF(C25="","",IFERROR(VLOOKUP(C25,Lists!$A$5:$C$8,2,FALSE()),""))</f>
        <v/>
      </c>
      <c r="O25" s="49" t="str">
        <f aca="false">IF(C25="","",IFERROR(VLOOKUP(C25,Lists!$A$5:$C$8,3,FALSE()),""))</f>
        <v/>
      </c>
      <c r="P25" s="50"/>
      <c r="Q25" s="50"/>
      <c r="R25" s="51" t="str">
        <f aca="false">IF(OR(I25="",L25="",M25="",N25="",O25=""),"",IF(F25="Long",(L25-I25)/N25*O25*M25,IF(F25="Short",(I25-L25)/N25*O25*M25,"")))</f>
        <v/>
      </c>
      <c r="S25" s="51" t="str">
        <f aca="false">IF(R25="","",R25-P25-Q25)</f>
        <v/>
      </c>
      <c r="T25" s="51" t="str">
        <f aca="false">IF(OR(I25="",J25="",M25="",N25="",O25=""),"",ABS(I25-J25)/N25*O25*M25+P25+Q25)</f>
        <v/>
      </c>
      <c r="U25" s="52" t="str">
        <f aca="false">IF(OR(S25="",T25="",T25=0),"",S25/T25)</f>
        <v/>
      </c>
      <c r="V25" s="50"/>
      <c r="W25" s="50"/>
      <c r="X25" s="44"/>
      <c r="Y25" s="44"/>
      <c r="Z25" s="44"/>
      <c r="AA25" s="44"/>
      <c r="AB25" s="52" t="str">
        <f aca="false">IF(OR(B25="",X25&lt;&gt;"Yes"),"",SUMIFS($U$6:U25,$X$6:X25,"Yes"))</f>
        <v/>
      </c>
      <c r="AC25" s="52" t="str">
        <f aca="false">IF(AB25="","",MAX($AB$6:AB25))</f>
        <v/>
      </c>
      <c r="AD25" s="52" t="str">
        <f aca="false">IF(AB25="","",AB25-AC25)</f>
        <v/>
      </c>
    </row>
    <row r="26" customFormat="false" ht="15" hidden="false" customHeight="false" outlineLevel="0" collapsed="false">
      <c r="A26" s="44"/>
      <c r="B26" s="45"/>
      <c r="C26" s="44"/>
      <c r="D26" s="44"/>
      <c r="E26" s="44"/>
      <c r="F26" s="44"/>
      <c r="G26" s="44"/>
      <c r="H26" s="44"/>
      <c r="I26" s="47"/>
      <c r="J26" s="47"/>
      <c r="K26" s="47"/>
      <c r="L26" s="47"/>
      <c r="M26" s="48"/>
      <c r="N26" s="49" t="str">
        <f aca="false">IF(C26="","",IFERROR(VLOOKUP(C26,Lists!$A$5:$C$8,2,FALSE()),""))</f>
        <v/>
      </c>
      <c r="O26" s="49" t="str">
        <f aca="false">IF(C26="","",IFERROR(VLOOKUP(C26,Lists!$A$5:$C$8,3,FALSE()),""))</f>
        <v/>
      </c>
      <c r="P26" s="50"/>
      <c r="Q26" s="50"/>
      <c r="R26" s="51" t="str">
        <f aca="false">IF(OR(I26="",L26="",M26="",N26="",O26=""),"",IF(F26="Long",(L26-I26)/N26*O26*M26,IF(F26="Short",(I26-L26)/N26*O26*M26,"")))</f>
        <v/>
      </c>
      <c r="S26" s="51" t="str">
        <f aca="false">IF(R26="","",R26-P26-Q26)</f>
        <v/>
      </c>
      <c r="T26" s="51" t="str">
        <f aca="false">IF(OR(I26="",J26="",M26="",N26="",O26=""),"",ABS(I26-J26)/N26*O26*M26+P26+Q26)</f>
        <v/>
      </c>
      <c r="U26" s="52" t="str">
        <f aca="false">IF(OR(S26="",T26="",T26=0),"",S26/T26)</f>
        <v/>
      </c>
      <c r="V26" s="50"/>
      <c r="W26" s="50"/>
      <c r="X26" s="44"/>
      <c r="Y26" s="44"/>
      <c r="Z26" s="44"/>
      <c r="AA26" s="44"/>
      <c r="AB26" s="52" t="str">
        <f aca="false">IF(OR(B26="",X26&lt;&gt;"Yes"),"",SUMIFS($U$6:U26,$X$6:X26,"Yes"))</f>
        <v/>
      </c>
      <c r="AC26" s="52" t="str">
        <f aca="false">IF(AB26="","",MAX($AB$6:AB26))</f>
        <v/>
      </c>
      <c r="AD26" s="52" t="str">
        <f aca="false">IF(AB26="","",AB26-AC26)</f>
        <v/>
      </c>
    </row>
    <row r="27" customFormat="false" ht="15" hidden="false" customHeight="false" outlineLevel="0" collapsed="false">
      <c r="A27" s="44"/>
      <c r="B27" s="45"/>
      <c r="C27" s="44"/>
      <c r="D27" s="44"/>
      <c r="E27" s="44"/>
      <c r="F27" s="44"/>
      <c r="G27" s="44"/>
      <c r="H27" s="44"/>
      <c r="I27" s="47"/>
      <c r="J27" s="47"/>
      <c r="K27" s="47"/>
      <c r="L27" s="47"/>
      <c r="M27" s="48"/>
      <c r="N27" s="49" t="str">
        <f aca="false">IF(C27="","",IFERROR(VLOOKUP(C27,Lists!$A$5:$C$8,2,FALSE()),""))</f>
        <v/>
      </c>
      <c r="O27" s="49" t="str">
        <f aca="false">IF(C27="","",IFERROR(VLOOKUP(C27,Lists!$A$5:$C$8,3,FALSE()),""))</f>
        <v/>
      </c>
      <c r="P27" s="50"/>
      <c r="Q27" s="50"/>
      <c r="R27" s="51" t="str">
        <f aca="false">IF(OR(I27="",L27="",M27="",N27="",O27=""),"",IF(F27="Long",(L27-I27)/N27*O27*M27,IF(F27="Short",(I27-L27)/N27*O27*M27,"")))</f>
        <v/>
      </c>
      <c r="S27" s="51" t="str">
        <f aca="false">IF(R27="","",R27-P27-Q27)</f>
        <v/>
      </c>
      <c r="T27" s="51" t="str">
        <f aca="false">IF(OR(I27="",J27="",M27="",N27="",O27=""),"",ABS(I27-J27)/N27*O27*M27+P27+Q27)</f>
        <v/>
      </c>
      <c r="U27" s="52" t="str">
        <f aca="false">IF(OR(S27="",T27="",T27=0),"",S27/T27)</f>
        <v/>
      </c>
      <c r="V27" s="50"/>
      <c r="W27" s="50"/>
      <c r="X27" s="44"/>
      <c r="Y27" s="44"/>
      <c r="Z27" s="44"/>
      <c r="AA27" s="44"/>
      <c r="AB27" s="52" t="str">
        <f aca="false">IF(OR(B27="",X27&lt;&gt;"Yes"),"",SUMIFS($U$6:U27,$X$6:X27,"Yes"))</f>
        <v/>
      </c>
      <c r="AC27" s="52" t="str">
        <f aca="false">IF(AB27="","",MAX($AB$6:AB27))</f>
        <v/>
      </c>
      <c r="AD27" s="52" t="str">
        <f aca="false">IF(AB27="","",AB27-AC27)</f>
        <v/>
      </c>
    </row>
    <row r="28" customFormat="false" ht="15" hidden="false" customHeight="false" outlineLevel="0" collapsed="false">
      <c r="A28" s="44"/>
      <c r="B28" s="45"/>
      <c r="C28" s="44"/>
      <c r="D28" s="44"/>
      <c r="E28" s="44"/>
      <c r="F28" s="44"/>
      <c r="G28" s="44"/>
      <c r="H28" s="44"/>
      <c r="I28" s="47"/>
      <c r="J28" s="47"/>
      <c r="K28" s="47"/>
      <c r="L28" s="47"/>
      <c r="M28" s="48"/>
      <c r="N28" s="49" t="str">
        <f aca="false">IF(C28="","",IFERROR(VLOOKUP(C28,Lists!$A$5:$C$8,2,FALSE()),""))</f>
        <v/>
      </c>
      <c r="O28" s="49" t="str">
        <f aca="false">IF(C28="","",IFERROR(VLOOKUP(C28,Lists!$A$5:$C$8,3,FALSE()),""))</f>
        <v/>
      </c>
      <c r="P28" s="50"/>
      <c r="Q28" s="50"/>
      <c r="R28" s="51" t="str">
        <f aca="false">IF(OR(I28="",L28="",M28="",N28="",O28=""),"",IF(F28="Long",(L28-I28)/N28*O28*M28,IF(F28="Short",(I28-L28)/N28*O28*M28,"")))</f>
        <v/>
      </c>
      <c r="S28" s="51" t="str">
        <f aca="false">IF(R28="","",R28-P28-Q28)</f>
        <v/>
      </c>
      <c r="T28" s="51" t="str">
        <f aca="false">IF(OR(I28="",J28="",M28="",N28="",O28=""),"",ABS(I28-J28)/N28*O28*M28+P28+Q28)</f>
        <v/>
      </c>
      <c r="U28" s="52" t="str">
        <f aca="false">IF(OR(S28="",T28="",T28=0),"",S28/T28)</f>
        <v/>
      </c>
      <c r="V28" s="50"/>
      <c r="W28" s="50"/>
      <c r="X28" s="44"/>
      <c r="Y28" s="44"/>
      <c r="Z28" s="44"/>
      <c r="AA28" s="44"/>
      <c r="AB28" s="52" t="str">
        <f aca="false">IF(OR(B28="",X28&lt;&gt;"Yes"),"",SUMIFS($U$6:U28,$X$6:X28,"Yes"))</f>
        <v/>
      </c>
      <c r="AC28" s="52" t="str">
        <f aca="false">IF(AB28="","",MAX($AB$6:AB28))</f>
        <v/>
      </c>
      <c r="AD28" s="52" t="str">
        <f aca="false">IF(AB28="","",AB28-AC28)</f>
        <v/>
      </c>
    </row>
    <row r="29" customFormat="false" ht="15" hidden="false" customHeight="false" outlineLevel="0" collapsed="false">
      <c r="A29" s="44"/>
      <c r="B29" s="45"/>
      <c r="C29" s="44"/>
      <c r="D29" s="44"/>
      <c r="E29" s="44"/>
      <c r="F29" s="44"/>
      <c r="G29" s="44"/>
      <c r="H29" s="44"/>
      <c r="I29" s="47"/>
      <c r="J29" s="47"/>
      <c r="K29" s="47"/>
      <c r="L29" s="47"/>
      <c r="M29" s="48"/>
      <c r="N29" s="49" t="str">
        <f aca="false">IF(C29="","",IFERROR(VLOOKUP(C29,Lists!$A$5:$C$8,2,FALSE()),""))</f>
        <v/>
      </c>
      <c r="O29" s="49" t="str">
        <f aca="false">IF(C29="","",IFERROR(VLOOKUP(C29,Lists!$A$5:$C$8,3,FALSE()),""))</f>
        <v/>
      </c>
      <c r="P29" s="50"/>
      <c r="Q29" s="50"/>
      <c r="R29" s="51" t="str">
        <f aca="false">IF(OR(I29="",L29="",M29="",N29="",O29=""),"",IF(F29="Long",(L29-I29)/N29*O29*M29,IF(F29="Short",(I29-L29)/N29*O29*M29,"")))</f>
        <v/>
      </c>
      <c r="S29" s="51" t="str">
        <f aca="false">IF(R29="","",R29-P29-Q29)</f>
        <v/>
      </c>
      <c r="T29" s="51" t="str">
        <f aca="false">IF(OR(I29="",J29="",M29="",N29="",O29=""),"",ABS(I29-J29)/N29*O29*M29+P29+Q29)</f>
        <v/>
      </c>
      <c r="U29" s="52" t="str">
        <f aca="false">IF(OR(S29="",T29="",T29=0),"",S29/T29)</f>
        <v/>
      </c>
      <c r="V29" s="50"/>
      <c r="W29" s="50"/>
      <c r="X29" s="44"/>
      <c r="Y29" s="44"/>
      <c r="Z29" s="44"/>
      <c r="AA29" s="44"/>
      <c r="AB29" s="52" t="str">
        <f aca="false">IF(OR(B29="",X29&lt;&gt;"Yes"),"",SUMIFS($U$6:U29,$X$6:X29,"Yes"))</f>
        <v/>
      </c>
      <c r="AC29" s="52" t="str">
        <f aca="false">IF(AB29="","",MAX($AB$6:AB29))</f>
        <v/>
      </c>
      <c r="AD29" s="52" t="str">
        <f aca="false">IF(AB29="","",AB29-AC29)</f>
        <v/>
      </c>
    </row>
    <row r="30" customFormat="false" ht="15" hidden="false" customHeight="false" outlineLevel="0" collapsed="false">
      <c r="A30" s="44"/>
      <c r="B30" s="45"/>
      <c r="C30" s="44"/>
      <c r="D30" s="44"/>
      <c r="E30" s="44"/>
      <c r="F30" s="44"/>
      <c r="G30" s="44"/>
      <c r="H30" s="44"/>
      <c r="I30" s="47"/>
      <c r="J30" s="47"/>
      <c r="K30" s="47"/>
      <c r="L30" s="47"/>
      <c r="M30" s="48"/>
      <c r="N30" s="49" t="str">
        <f aca="false">IF(C30="","",IFERROR(VLOOKUP(C30,Lists!$A$5:$C$8,2,FALSE()),""))</f>
        <v/>
      </c>
      <c r="O30" s="49" t="str">
        <f aca="false">IF(C30="","",IFERROR(VLOOKUP(C30,Lists!$A$5:$C$8,3,FALSE()),""))</f>
        <v/>
      </c>
      <c r="P30" s="50"/>
      <c r="Q30" s="50"/>
      <c r="R30" s="51" t="str">
        <f aca="false">IF(OR(I30="",L30="",M30="",N30="",O30=""),"",IF(F30="Long",(L30-I30)/N30*O30*M30,IF(F30="Short",(I30-L30)/N30*O30*M30,"")))</f>
        <v/>
      </c>
      <c r="S30" s="51" t="str">
        <f aca="false">IF(R30="","",R30-P30-Q30)</f>
        <v/>
      </c>
      <c r="T30" s="51" t="str">
        <f aca="false">IF(OR(I30="",J30="",M30="",N30="",O30=""),"",ABS(I30-J30)/N30*O30*M30+P30+Q30)</f>
        <v/>
      </c>
      <c r="U30" s="52" t="str">
        <f aca="false">IF(OR(S30="",T30="",T30=0),"",S30/T30)</f>
        <v/>
      </c>
      <c r="V30" s="50"/>
      <c r="W30" s="50"/>
      <c r="X30" s="44"/>
      <c r="Y30" s="44"/>
      <c r="Z30" s="44"/>
      <c r="AA30" s="44"/>
      <c r="AB30" s="52" t="str">
        <f aca="false">IF(OR(B30="",X30&lt;&gt;"Yes"),"",SUMIFS($U$6:U30,$X$6:X30,"Yes"))</f>
        <v/>
      </c>
      <c r="AC30" s="52" t="str">
        <f aca="false">IF(AB30="","",MAX($AB$6:AB30))</f>
        <v/>
      </c>
      <c r="AD30" s="52" t="str">
        <f aca="false">IF(AB30="","",AB30-AC30)</f>
        <v/>
      </c>
    </row>
    <row r="31" customFormat="false" ht="15" hidden="false" customHeight="false" outlineLevel="0" collapsed="false">
      <c r="A31" s="44"/>
      <c r="B31" s="45"/>
      <c r="C31" s="44"/>
      <c r="D31" s="44"/>
      <c r="E31" s="44"/>
      <c r="F31" s="44"/>
      <c r="G31" s="44"/>
      <c r="H31" s="44"/>
      <c r="I31" s="47"/>
      <c r="J31" s="47"/>
      <c r="K31" s="47"/>
      <c r="L31" s="47"/>
      <c r="M31" s="48"/>
      <c r="N31" s="49" t="str">
        <f aca="false">IF(C31="","",IFERROR(VLOOKUP(C31,Lists!$A$5:$C$8,2,FALSE()),""))</f>
        <v/>
      </c>
      <c r="O31" s="49" t="str">
        <f aca="false">IF(C31="","",IFERROR(VLOOKUP(C31,Lists!$A$5:$C$8,3,FALSE()),""))</f>
        <v/>
      </c>
      <c r="P31" s="50"/>
      <c r="Q31" s="50"/>
      <c r="R31" s="51" t="str">
        <f aca="false">IF(OR(I31="",L31="",M31="",N31="",O31=""),"",IF(F31="Long",(L31-I31)/N31*O31*M31,IF(F31="Short",(I31-L31)/N31*O31*M31,"")))</f>
        <v/>
      </c>
      <c r="S31" s="51" t="str">
        <f aca="false">IF(R31="","",R31-P31-Q31)</f>
        <v/>
      </c>
      <c r="T31" s="51" t="str">
        <f aca="false">IF(OR(I31="",J31="",M31="",N31="",O31=""),"",ABS(I31-J31)/N31*O31*M31+P31+Q31)</f>
        <v/>
      </c>
      <c r="U31" s="52" t="str">
        <f aca="false">IF(OR(S31="",T31="",T31=0),"",S31/T31)</f>
        <v/>
      </c>
      <c r="V31" s="50"/>
      <c r="W31" s="50"/>
      <c r="X31" s="44"/>
      <c r="Y31" s="44"/>
      <c r="Z31" s="44"/>
      <c r="AA31" s="44"/>
      <c r="AB31" s="52" t="str">
        <f aca="false">IF(OR(B31="",X31&lt;&gt;"Yes"),"",SUMIFS($U$6:U31,$X$6:X31,"Yes"))</f>
        <v/>
      </c>
      <c r="AC31" s="52" t="str">
        <f aca="false">IF(AB31="","",MAX($AB$6:AB31))</f>
        <v/>
      </c>
      <c r="AD31" s="52" t="str">
        <f aca="false">IF(AB31="","",AB31-AC31)</f>
        <v/>
      </c>
    </row>
    <row r="32" customFormat="false" ht="15" hidden="false" customHeight="false" outlineLevel="0" collapsed="false">
      <c r="A32" s="44"/>
      <c r="B32" s="45"/>
      <c r="C32" s="44"/>
      <c r="D32" s="44"/>
      <c r="E32" s="44"/>
      <c r="F32" s="44"/>
      <c r="G32" s="44"/>
      <c r="H32" s="44"/>
      <c r="I32" s="47"/>
      <c r="J32" s="47"/>
      <c r="K32" s="47"/>
      <c r="L32" s="47"/>
      <c r="M32" s="48"/>
      <c r="N32" s="49" t="str">
        <f aca="false">IF(C32="","",IFERROR(VLOOKUP(C32,Lists!$A$5:$C$8,2,FALSE()),""))</f>
        <v/>
      </c>
      <c r="O32" s="49" t="str">
        <f aca="false">IF(C32="","",IFERROR(VLOOKUP(C32,Lists!$A$5:$C$8,3,FALSE()),""))</f>
        <v/>
      </c>
      <c r="P32" s="50"/>
      <c r="Q32" s="50"/>
      <c r="R32" s="51" t="str">
        <f aca="false">IF(OR(I32="",L32="",M32="",N32="",O32=""),"",IF(F32="Long",(L32-I32)/N32*O32*M32,IF(F32="Short",(I32-L32)/N32*O32*M32,"")))</f>
        <v/>
      </c>
      <c r="S32" s="51" t="str">
        <f aca="false">IF(R32="","",R32-P32-Q32)</f>
        <v/>
      </c>
      <c r="T32" s="51" t="str">
        <f aca="false">IF(OR(I32="",J32="",M32="",N32="",O32=""),"",ABS(I32-J32)/N32*O32*M32+P32+Q32)</f>
        <v/>
      </c>
      <c r="U32" s="52" t="str">
        <f aca="false">IF(OR(S32="",T32="",T32=0),"",S32/T32)</f>
        <v/>
      </c>
      <c r="V32" s="50"/>
      <c r="W32" s="50"/>
      <c r="X32" s="44"/>
      <c r="Y32" s="44"/>
      <c r="Z32" s="44"/>
      <c r="AA32" s="44"/>
      <c r="AB32" s="52" t="str">
        <f aca="false">IF(OR(B32="",X32&lt;&gt;"Yes"),"",SUMIFS($U$6:U32,$X$6:X32,"Yes"))</f>
        <v/>
      </c>
      <c r="AC32" s="52" t="str">
        <f aca="false">IF(AB32="","",MAX($AB$6:AB32))</f>
        <v/>
      </c>
      <c r="AD32" s="52" t="str">
        <f aca="false">IF(AB32="","",AB32-AC32)</f>
        <v/>
      </c>
    </row>
    <row r="33" customFormat="false" ht="15" hidden="false" customHeight="false" outlineLevel="0" collapsed="false">
      <c r="A33" s="44"/>
      <c r="B33" s="45"/>
      <c r="C33" s="44"/>
      <c r="D33" s="44"/>
      <c r="E33" s="44"/>
      <c r="F33" s="44"/>
      <c r="G33" s="44"/>
      <c r="H33" s="44"/>
      <c r="I33" s="47"/>
      <c r="J33" s="47"/>
      <c r="K33" s="47"/>
      <c r="L33" s="47"/>
      <c r="M33" s="48"/>
      <c r="N33" s="49" t="str">
        <f aca="false">IF(C33="","",IFERROR(VLOOKUP(C33,Lists!$A$5:$C$8,2,FALSE()),""))</f>
        <v/>
      </c>
      <c r="O33" s="49" t="str">
        <f aca="false">IF(C33="","",IFERROR(VLOOKUP(C33,Lists!$A$5:$C$8,3,FALSE()),""))</f>
        <v/>
      </c>
      <c r="P33" s="50"/>
      <c r="Q33" s="50"/>
      <c r="R33" s="51" t="str">
        <f aca="false">IF(OR(I33="",L33="",M33="",N33="",O33=""),"",IF(F33="Long",(L33-I33)/N33*O33*M33,IF(F33="Short",(I33-L33)/N33*O33*M33,"")))</f>
        <v/>
      </c>
      <c r="S33" s="51" t="str">
        <f aca="false">IF(R33="","",R33-P33-Q33)</f>
        <v/>
      </c>
      <c r="T33" s="51" t="str">
        <f aca="false">IF(OR(I33="",J33="",M33="",N33="",O33=""),"",ABS(I33-J33)/N33*O33*M33+P33+Q33)</f>
        <v/>
      </c>
      <c r="U33" s="52" t="str">
        <f aca="false">IF(OR(S33="",T33="",T33=0),"",S33/T33)</f>
        <v/>
      </c>
      <c r="V33" s="50"/>
      <c r="W33" s="50"/>
      <c r="X33" s="44"/>
      <c r="Y33" s="44"/>
      <c r="Z33" s="44"/>
      <c r="AA33" s="44"/>
      <c r="AB33" s="52" t="str">
        <f aca="false">IF(OR(B33="",X33&lt;&gt;"Yes"),"",SUMIFS($U$6:U33,$X$6:X33,"Yes"))</f>
        <v/>
      </c>
      <c r="AC33" s="52" t="str">
        <f aca="false">IF(AB33="","",MAX($AB$6:AB33))</f>
        <v/>
      </c>
      <c r="AD33" s="52" t="str">
        <f aca="false">IF(AB33="","",AB33-AC33)</f>
        <v/>
      </c>
    </row>
    <row r="34" customFormat="false" ht="15" hidden="false" customHeight="false" outlineLevel="0" collapsed="false">
      <c r="A34" s="44"/>
      <c r="B34" s="45"/>
      <c r="C34" s="44"/>
      <c r="D34" s="44"/>
      <c r="E34" s="44"/>
      <c r="F34" s="44"/>
      <c r="G34" s="44"/>
      <c r="H34" s="44"/>
      <c r="I34" s="47"/>
      <c r="J34" s="47"/>
      <c r="K34" s="47"/>
      <c r="L34" s="47"/>
      <c r="M34" s="48"/>
      <c r="N34" s="49" t="str">
        <f aca="false">IF(C34="","",IFERROR(VLOOKUP(C34,Lists!$A$5:$C$8,2,FALSE()),""))</f>
        <v/>
      </c>
      <c r="O34" s="49" t="str">
        <f aca="false">IF(C34="","",IFERROR(VLOOKUP(C34,Lists!$A$5:$C$8,3,FALSE()),""))</f>
        <v/>
      </c>
      <c r="P34" s="50"/>
      <c r="Q34" s="50"/>
      <c r="R34" s="51" t="str">
        <f aca="false">IF(OR(I34="",L34="",M34="",N34="",O34=""),"",IF(F34="Long",(L34-I34)/N34*O34*M34,IF(F34="Short",(I34-L34)/N34*O34*M34,"")))</f>
        <v/>
      </c>
      <c r="S34" s="51" t="str">
        <f aca="false">IF(R34="","",R34-P34-Q34)</f>
        <v/>
      </c>
      <c r="T34" s="51" t="str">
        <f aca="false">IF(OR(I34="",J34="",M34="",N34="",O34=""),"",ABS(I34-J34)/N34*O34*M34+P34+Q34)</f>
        <v/>
      </c>
      <c r="U34" s="52" t="str">
        <f aca="false">IF(OR(S34="",T34="",T34=0),"",S34/T34)</f>
        <v/>
      </c>
      <c r="V34" s="50"/>
      <c r="W34" s="50"/>
      <c r="X34" s="44"/>
      <c r="Y34" s="44"/>
      <c r="Z34" s="44"/>
      <c r="AA34" s="44"/>
      <c r="AB34" s="52" t="str">
        <f aca="false">IF(OR(B34="",X34&lt;&gt;"Yes"),"",SUMIFS($U$6:U34,$X$6:X34,"Yes"))</f>
        <v/>
      </c>
      <c r="AC34" s="52" t="str">
        <f aca="false">IF(AB34="","",MAX($AB$6:AB34))</f>
        <v/>
      </c>
      <c r="AD34" s="52" t="str">
        <f aca="false">IF(AB34="","",AB34-AC34)</f>
        <v/>
      </c>
    </row>
    <row r="35" customFormat="false" ht="15" hidden="false" customHeight="false" outlineLevel="0" collapsed="false">
      <c r="A35" s="44"/>
      <c r="B35" s="45"/>
      <c r="C35" s="44"/>
      <c r="D35" s="44"/>
      <c r="E35" s="44"/>
      <c r="F35" s="44"/>
      <c r="G35" s="44"/>
      <c r="H35" s="44"/>
      <c r="I35" s="47"/>
      <c r="J35" s="47"/>
      <c r="K35" s="47"/>
      <c r="L35" s="47"/>
      <c r="M35" s="48"/>
      <c r="N35" s="49" t="str">
        <f aca="false">IF(C35="","",IFERROR(VLOOKUP(C35,Lists!$A$5:$C$8,2,FALSE()),""))</f>
        <v/>
      </c>
      <c r="O35" s="49" t="str">
        <f aca="false">IF(C35="","",IFERROR(VLOOKUP(C35,Lists!$A$5:$C$8,3,FALSE()),""))</f>
        <v/>
      </c>
      <c r="P35" s="50"/>
      <c r="Q35" s="50"/>
      <c r="R35" s="51" t="str">
        <f aca="false">IF(OR(I35="",L35="",M35="",N35="",O35=""),"",IF(F35="Long",(L35-I35)/N35*O35*M35,IF(F35="Short",(I35-L35)/N35*O35*M35,"")))</f>
        <v/>
      </c>
      <c r="S35" s="51" t="str">
        <f aca="false">IF(R35="","",R35-P35-Q35)</f>
        <v/>
      </c>
      <c r="T35" s="51" t="str">
        <f aca="false">IF(OR(I35="",J35="",M35="",N35="",O35=""),"",ABS(I35-J35)/N35*O35*M35+P35+Q35)</f>
        <v/>
      </c>
      <c r="U35" s="52" t="str">
        <f aca="false">IF(OR(S35="",T35="",T35=0),"",S35/T35)</f>
        <v/>
      </c>
      <c r="V35" s="50"/>
      <c r="W35" s="50"/>
      <c r="X35" s="44"/>
      <c r="Y35" s="44"/>
      <c r="Z35" s="44"/>
      <c r="AA35" s="44"/>
      <c r="AB35" s="52" t="str">
        <f aca="false">IF(OR(B35="",X35&lt;&gt;"Yes"),"",SUMIFS($U$6:U35,$X$6:X35,"Yes"))</f>
        <v/>
      </c>
      <c r="AC35" s="52" t="str">
        <f aca="false">IF(AB35="","",MAX($AB$6:AB35))</f>
        <v/>
      </c>
      <c r="AD35" s="52" t="str">
        <f aca="false">IF(AB35="","",AB35-AC35)</f>
        <v/>
      </c>
    </row>
    <row r="36" customFormat="false" ht="15" hidden="false" customHeight="false" outlineLevel="0" collapsed="false">
      <c r="A36" s="44"/>
      <c r="B36" s="45"/>
      <c r="C36" s="44"/>
      <c r="D36" s="44"/>
      <c r="E36" s="44"/>
      <c r="F36" s="44"/>
      <c r="G36" s="44"/>
      <c r="H36" s="44"/>
      <c r="I36" s="47"/>
      <c r="J36" s="47"/>
      <c r="K36" s="47"/>
      <c r="L36" s="47"/>
      <c r="M36" s="48"/>
      <c r="N36" s="49" t="str">
        <f aca="false">IF(C36="","",IFERROR(VLOOKUP(C36,Lists!$A$5:$C$8,2,FALSE()),""))</f>
        <v/>
      </c>
      <c r="O36" s="49" t="str">
        <f aca="false">IF(C36="","",IFERROR(VLOOKUP(C36,Lists!$A$5:$C$8,3,FALSE()),""))</f>
        <v/>
      </c>
      <c r="P36" s="50"/>
      <c r="Q36" s="50"/>
      <c r="R36" s="51" t="str">
        <f aca="false">IF(OR(I36="",L36="",M36="",N36="",O36=""),"",IF(F36="Long",(L36-I36)/N36*O36*M36,IF(F36="Short",(I36-L36)/N36*O36*M36,"")))</f>
        <v/>
      </c>
      <c r="S36" s="51" t="str">
        <f aca="false">IF(R36="","",R36-P36-Q36)</f>
        <v/>
      </c>
      <c r="T36" s="51" t="str">
        <f aca="false">IF(OR(I36="",J36="",M36="",N36="",O36=""),"",ABS(I36-J36)/N36*O36*M36+P36+Q36)</f>
        <v/>
      </c>
      <c r="U36" s="52" t="str">
        <f aca="false">IF(OR(S36="",T36="",T36=0),"",S36/T36)</f>
        <v/>
      </c>
      <c r="V36" s="50"/>
      <c r="W36" s="50"/>
      <c r="X36" s="44"/>
      <c r="Y36" s="44"/>
      <c r="Z36" s="44"/>
      <c r="AA36" s="44"/>
      <c r="AB36" s="52" t="str">
        <f aca="false">IF(OR(B36="",X36&lt;&gt;"Yes"),"",SUMIFS($U$6:U36,$X$6:X36,"Yes"))</f>
        <v/>
      </c>
      <c r="AC36" s="52" t="str">
        <f aca="false">IF(AB36="","",MAX($AB$6:AB36))</f>
        <v/>
      </c>
      <c r="AD36" s="52" t="str">
        <f aca="false">IF(AB36="","",AB36-AC36)</f>
        <v/>
      </c>
    </row>
    <row r="37" customFormat="false" ht="15" hidden="false" customHeight="false" outlineLevel="0" collapsed="false">
      <c r="A37" s="44"/>
      <c r="B37" s="45"/>
      <c r="C37" s="44"/>
      <c r="D37" s="44"/>
      <c r="E37" s="44"/>
      <c r="F37" s="44"/>
      <c r="G37" s="44"/>
      <c r="H37" s="44"/>
      <c r="I37" s="47"/>
      <c r="J37" s="47"/>
      <c r="K37" s="47"/>
      <c r="L37" s="47"/>
      <c r="M37" s="48"/>
      <c r="N37" s="49" t="str">
        <f aca="false">IF(C37="","",IFERROR(VLOOKUP(C37,Lists!$A$5:$C$8,2,FALSE()),""))</f>
        <v/>
      </c>
      <c r="O37" s="49" t="str">
        <f aca="false">IF(C37="","",IFERROR(VLOOKUP(C37,Lists!$A$5:$C$8,3,FALSE()),""))</f>
        <v/>
      </c>
      <c r="P37" s="50"/>
      <c r="Q37" s="50"/>
      <c r="R37" s="51" t="str">
        <f aca="false">IF(OR(I37="",L37="",M37="",N37="",O37=""),"",IF(F37="Long",(L37-I37)/N37*O37*M37,IF(F37="Short",(I37-L37)/N37*O37*M37,"")))</f>
        <v/>
      </c>
      <c r="S37" s="51" t="str">
        <f aca="false">IF(R37="","",R37-P37-Q37)</f>
        <v/>
      </c>
      <c r="T37" s="51" t="str">
        <f aca="false">IF(OR(I37="",J37="",M37="",N37="",O37=""),"",ABS(I37-J37)/N37*O37*M37+P37+Q37)</f>
        <v/>
      </c>
      <c r="U37" s="52" t="str">
        <f aca="false">IF(OR(S37="",T37="",T37=0),"",S37/T37)</f>
        <v/>
      </c>
      <c r="V37" s="50"/>
      <c r="W37" s="50"/>
      <c r="X37" s="44"/>
      <c r="Y37" s="44"/>
      <c r="Z37" s="44"/>
      <c r="AA37" s="44"/>
      <c r="AB37" s="52" t="str">
        <f aca="false">IF(OR(B37="",X37&lt;&gt;"Yes"),"",SUMIFS($U$6:U37,$X$6:X37,"Yes"))</f>
        <v/>
      </c>
      <c r="AC37" s="52" t="str">
        <f aca="false">IF(AB37="","",MAX($AB$6:AB37))</f>
        <v/>
      </c>
      <c r="AD37" s="52" t="str">
        <f aca="false">IF(AB37="","",AB37-AC37)</f>
        <v/>
      </c>
    </row>
    <row r="38" customFormat="false" ht="15" hidden="false" customHeight="false" outlineLevel="0" collapsed="false">
      <c r="A38" s="44"/>
      <c r="B38" s="45"/>
      <c r="C38" s="44"/>
      <c r="D38" s="44"/>
      <c r="E38" s="44"/>
      <c r="F38" s="44"/>
      <c r="G38" s="44"/>
      <c r="H38" s="44"/>
      <c r="I38" s="47"/>
      <c r="J38" s="47"/>
      <c r="K38" s="47"/>
      <c r="L38" s="47"/>
      <c r="M38" s="48"/>
      <c r="N38" s="49" t="str">
        <f aca="false">IF(C38="","",IFERROR(VLOOKUP(C38,Lists!$A$5:$C$8,2,FALSE()),""))</f>
        <v/>
      </c>
      <c r="O38" s="49" t="str">
        <f aca="false">IF(C38="","",IFERROR(VLOOKUP(C38,Lists!$A$5:$C$8,3,FALSE()),""))</f>
        <v/>
      </c>
      <c r="P38" s="50"/>
      <c r="Q38" s="50"/>
      <c r="R38" s="51" t="str">
        <f aca="false">IF(OR(I38="",L38="",M38="",N38="",O38=""),"",IF(F38="Long",(L38-I38)/N38*O38*M38,IF(F38="Short",(I38-L38)/N38*O38*M38,"")))</f>
        <v/>
      </c>
      <c r="S38" s="51" t="str">
        <f aca="false">IF(R38="","",R38-P38-Q38)</f>
        <v/>
      </c>
      <c r="T38" s="51" t="str">
        <f aca="false">IF(OR(I38="",J38="",M38="",N38="",O38=""),"",ABS(I38-J38)/N38*O38*M38+P38+Q38)</f>
        <v/>
      </c>
      <c r="U38" s="52" t="str">
        <f aca="false">IF(OR(S38="",T38="",T38=0),"",S38/T38)</f>
        <v/>
      </c>
      <c r="V38" s="50"/>
      <c r="W38" s="50"/>
      <c r="X38" s="44"/>
      <c r="Y38" s="44"/>
      <c r="Z38" s="44"/>
      <c r="AA38" s="44"/>
      <c r="AB38" s="52" t="str">
        <f aca="false">IF(OR(B38="",X38&lt;&gt;"Yes"),"",SUMIFS($U$6:U38,$X$6:X38,"Yes"))</f>
        <v/>
      </c>
      <c r="AC38" s="52" t="str">
        <f aca="false">IF(AB38="","",MAX($AB$6:AB38))</f>
        <v/>
      </c>
      <c r="AD38" s="52" t="str">
        <f aca="false">IF(AB38="","",AB38-AC38)</f>
        <v/>
      </c>
    </row>
    <row r="39" customFormat="false" ht="15" hidden="false" customHeight="false" outlineLevel="0" collapsed="false">
      <c r="A39" s="44"/>
      <c r="B39" s="45"/>
      <c r="C39" s="44"/>
      <c r="D39" s="44"/>
      <c r="E39" s="44"/>
      <c r="F39" s="44"/>
      <c r="G39" s="44"/>
      <c r="H39" s="44"/>
      <c r="I39" s="47"/>
      <c r="J39" s="47"/>
      <c r="K39" s="47"/>
      <c r="L39" s="47"/>
      <c r="M39" s="48"/>
      <c r="N39" s="49" t="str">
        <f aca="false">IF(C39="","",IFERROR(VLOOKUP(C39,Lists!$A$5:$C$8,2,FALSE()),""))</f>
        <v/>
      </c>
      <c r="O39" s="49" t="str">
        <f aca="false">IF(C39="","",IFERROR(VLOOKUP(C39,Lists!$A$5:$C$8,3,FALSE()),""))</f>
        <v/>
      </c>
      <c r="P39" s="50"/>
      <c r="Q39" s="50"/>
      <c r="R39" s="51" t="str">
        <f aca="false">IF(OR(I39="",L39="",M39="",N39="",O39=""),"",IF(F39="Long",(L39-I39)/N39*O39*M39,IF(F39="Short",(I39-L39)/N39*O39*M39,"")))</f>
        <v/>
      </c>
      <c r="S39" s="51" t="str">
        <f aca="false">IF(R39="","",R39-P39-Q39)</f>
        <v/>
      </c>
      <c r="T39" s="51" t="str">
        <f aca="false">IF(OR(I39="",J39="",M39="",N39="",O39=""),"",ABS(I39-J39)/N39*O39*M39+P39+Q39)</f>
        <v/>
      </c>
      <c r="U39" s="52" t="str">
        <f aca="false">IF(OR(S39="",T39="",T39=0),"",S39/T39)</f>
        <v/>
      </c>
      <c r="V39" s="50"/>
      <c r="W39" s="50"/>
      <c r="X39" s="44"/>
      <c r="Y39" s="44"/>
      <c r="Z39" s="44"/>
      <c r="AA39" s="44"/>
      <c r="AB39" s="52" t="str">
        <f aca="false">IF(OR(B39="",X39&lt;&gt;"Yes"),"",SUMIFS($U$6:U39,$X$6:X39,"Yes"))</f>
        <v/>
      </c>
      <c r="AC39" s="52" t="str">
        <f aca="false">IF(AB39="","",MAX($AB$6:AB39))</f>
        <v/>
      </c>
      <c r="AD39" s="52" t="str">
        <f aca="false">IF(AB39="","",AB39-AC39)</f>
        <v/>
      </c>
    </row>
    <row r="40" customFormat="false" ht="15" hidden="false" customHeight="false" outlineLevel="0" collapsed="false">
      <c r="A40" s="44"/>
      <c r="B40" s="45"/>
      <c r="C40" s="44"/>
      <c r="D40" s="44"/>
      <c r="E40" s="44"/>
      <c r="F40" s="44"/>
      <c r="G40" s="44"/>
      <c r="H40" s="44"/>
      <c r="I40" s="47"/>
      <c r="J40" s="47"/>
      <c r="K40" s="47"/>
      <c r="L40" s="47"/>
      <c r="M40" s="48"/>
      <c r="N40" s="49" t="str">
        <f aca="false">IF(C40="","",IFERROR(VLOOKUP(C40,Lists!$A$5:$C$8,2,FALSE()),""))</f>
        <v/>
      </c>
      <c r="O40" s="49" t="str">
        <f aca="false">IF(C40="","",IFERROR(VLOOKUP(C40,Lists!$A$5:$C$8,3,FALSE()),""))</f>
        <v/>
      </c>
      <c r="P40" s="50"/>
      <c r="Q40" s="50"/>
      <c r="R40" s="51" t="str">
        <f aca="false">IF(OR(I40="",L40="",M40="",N40="",O40=""),"",IF(F40="Long",(L40-I40)/N40*O40*M40,IF(F40="Short",(I40-L40)/N40*O40*M40,"")))</f>
        <v/>
      </c>
      <c r="S40" s="51" t="str">
        <f aca="false">IF(R40="","",R40-P40-Q40)</f>
        <v/>
      </c>
      <c r="T40" s="51" t="str">
        <f aca="false">IF(OR(I40="",J40="",M40="",N40="",O40=""),"",ABS(I40-J40)/N40*O40*M40+P40+Q40)</f>
        <v/>
      </c>
      <c r="U40" s="52" t="str">
        <f aca="false">IF(OR(S40="",T40="",T40=0),"",S40/T40)</f>
        <v/>
      </c>
      <c r="V40" s="50"/>
      <c r="W40" s="50"/>
      <c r="X40" s="44"/>
      <c r="Y40" s="44"/>
      <c r="Z40" s="44"/>
      <c r="AA40" s="44"/>
      <c r="AB40" s="52" t="str">
        <f aca="false">IF(OR(B40="",X40&lt;&gt;"Yes"),"",SUMIFS($U$6:U40,$X$6:X40,"Yes"))</f>
        <v/>
      </c>
      <c r="AC40" s="52" t="str">
        <f aca="false">IF(AB40="","",MAX($AB$6:AB40))</f>
        <v/>
      </c>
      <c r="AD40" s="52" t="str">
        <f aca="false">IF(AB40="","",AB40-AC40)</f>
        <v/>
      </c>
    </row>
    <row r="41" customFormat="false" ht="15" hidden="false" customHeight="false" outlineLevel="0" collapsed="false">
      <c r="A41" s="44"/>
      <c r="B41" s="45"/>
      <c r="C41" s="44"/>
      <c r="D41" s="44"/>
      <c r="E41" s="44"/>
      <c r="F41" s="44"/>
      <c r="G41" s="44"/>
      <c r="H41" s="44"/>
      <c r="I41" s="47"/>
      <c r="J41" s="47"/>
      <c r="K41" s="47"/>
      <c r="L41" s="47"/>
      <c r="M41" s="48"/>
      <c r="N41" s="49" t="str">
        <f aca="false">IF(C41="","",IFERROR(VLOOKUP(C41,Lists!$A$5:$C$8,2,FALSE()),""))</f>
        <v/>
      </c>
      <c r="O41" s="49" t="str">
        <f aca="false">IF(C41="","",IFERROR(VLOOKUP(C41,Lists!$A$5:$C$8,3,FALSE()),""))</f>
        <v/>
      </c>
      <c r="P41" s="50"/>
      <c r="Q41" s="50"/>
      <c r="R41" s="51" t="str">
        <f aca="false">IF(OR(I41="",L41="",M41="",N41="",O41=""),"",IF(F41="Long",(L41-I41)/N41*O41*M41,IF(F41="Short",(I41-L41)/N41*O41*M41,"")))</f>
        <v/>
      </c>
      <c r="S41" s="51" t="str">
        <f aca="false">IF(R41="","",R41-P41-Q41)</f>
        <v/>
      </c>
      <c r="T41" s="51" t="str">
        <f aca="false">IF(OR(I41="",J41="",M41="",N41="",O41=""),"",ABS(I41-J41)/N41*O41*M41+P41+Q41)</f>
        <v/>
      </c>
      <c r="U41" s="52" t="str">
        <f aca="false">IF(OR(S41="",T41="",T41=0),"",S41/T41)</f>
        <v/>
      </c>
      <c r="V41" s="50"/>
      <c r="W41" s="50"/>
      <c r="X41" s="44"/>
      <c r="Y41" s="44"/>
      <c r="Z41" s="44"/>
      <c r="AA41" s="44"/>
      <c r="AB41" s="52" t="str">
        <f aca="false">IF(OR(B41="",X41&lt;&gt;"Yes"),"",SUMIFS($U$6:U41,$X$6:X41,"Yes"))</f>
        <v/>
      </c>
      <c r="AC41" s="52" t="str">
        <f aca="false">IF(AB41="","",MAX($AB$6:AB41))</f>
        <v/>
      </c>
      <c r="AD41" s="52" t="str">
        <f aca="false">IF(AB41="","",AB41-AC41)</f>
        <v/>
      </c>
    </row>
    <row r="42" customFormat="false" ht="15" hidden="false" customHeight="false" outlineLevel="0" collapsed="false">
      <c r="A42" s="44"/>
      <c r="B42" s="45"/>
      <c r="C42" s="44"/>
      <c r="D42" s="44"/>
      <c r="E42" s="44"/>
      <c r="F42" s="44"/>
      <c r="G42" s="44"/>
      <c r="H42" s="44"/>
      <c r="I42" s="47"/>
      <c r="J42" s="47"/>
      <c r="K42" s="47"/>
      <c r="L42" s="47"/>
      <c r="M42" s="48"/>
      <c r="N42" s="49" t="str">
        <f aca="false">IF(C42="","",IFERROR(VLOOKUP(C42,Lists!$A$5:$C$8,2,FALSE()),""))</f>
        <v/>
      </c>
      <c r="O42" s="49" t="str">
        <f aca="false">IF(C42="","",IFERROR(VLOOKUP(C42,Lists!$A$5:$C$8,3,FALSE()),""))</f>
        <v/>
      </c>
      <c r="P42" s="50"/>
      <c r="Q42" s="50"/>
      <c r="R42" s="51" t="str">
        <f aca="false">IF(OR(I42="",L42="",M42="",N42="",O42=""),"",IF(F42="Long",(L42-I42)/N42*O42*M42,IF(F42="Short",(I42-L42)/N42*O42*M42,"")))</f>
        <v/>
      </c>
      <c r="S42" s="51" t="str">
        <f aca="false">IF(R42="","",R42-P42-Q42)</f>
        <v/>
      </c>
      <c r="T42" s="51" t="str">
        <f aca="false">IF(OR(I42="",J42="",M42="",N42="",O42=""),"",ABS(I42-J42)/N42*O42*M42+P42+Q42)</f>
        <v/>
      </c>
      <c r="U42" s="52" t="str">
        <f aca="false">IF(OR(S42="",T42="",T42=0),"",S42/T42)</f>
        <v/>
      </c>
      <c r="V42" s="50"/>
      <c r="W42" s="50"/>
      <c r="X42" s="44"/>
      <c r="Y42" s="44"/>
      <c r="Z42" s="44"/>
      <c r="AA42" s="44"/>
      <c r="AB42" s="52" t="str">
        <f aca="false">IF(OR(B42="",X42&lt;&gt;"Yes"),"",SUMIFS($U$6:U42,$X$6:X42,"Yes"))</f>
        <v/>
      </c>
      <c r="AC42" s="52" t="str">
        <f aca="false">IF(AB42="","",MAX($AB$6:AB42))</f>
        <v/>
      </c>
      <c r="AD42" s="52" t="str">
        <f aca="false">IF(AB42="","",AB42-AC42)</f>
        <v/>
      </c>
    </row>
    <row r="43" customFormat="false" ht="15" hidden="false" customHeight="false" outlineLevel="0" collapsed="false">
      <c r="A43" s="44"/>
      <c r="B43" s="45"/>
      <c r="C43" s="44"/>
      <c r="D43" s="44"/>
      <c r="E43" s="44"/>
      <c r="F43" s="44"/>
      <c r="G43" s="44"/>
      <c r="H43" s="44"/>
      <c r="I43" s="47"/>
      <c r="J43" s="47"/>
      <c r="K43" s="47"/>
      <c r="L43" s="47"/>
      <c r="M43" s="48"/>
      <c r="N43" s="49" t="str">
        <f aca="false">IF(C43="","",IFERROR(VLOOKUP(C43,Lists!$A$5:$C$8,2,FALSE()),""))</f>
        <v/>
      </c>
      <c r="O43" s="49" t="str">
        <f aca="false">IF(C43="","",IFERROR(VLOOKUP(C43,Lists!$A$5:$C$8,3,FALSE()),""))</f>
        <v/>
      </c>
      <c r="P43" s="50"/>
      <c r="Q43" s="50"/>
      <c r="R43" s="51" t="str">
        <f aca="false">IF(OR(I43="",L43="",M43="",N43="",O43=""),"",IF(F43="Long",(L43-I43)/N43*O43*M43,IF(F43="Short",(I43-L43)/N43*O43*M43,"")))</f>
        <v/>
      </c>
      <c r="S43" s="51" t="str">
        <f aca="false">IF(R43="","",R43-P43-Q43)</f>
        <v/>
      </c>
      <c r="T43" s="51" t="str">
        <f aca="false">IF(OR(I43="",J43="",M43="",N43="",O43=""),"",ABS(I43-J43)/N43*O43*M43+P43+Q43)</f>
        <v/>
      </c>
      <c r="U43" s="52" t="str">
        <f aca="false">IF(OR(S43="",T43="",T43=0),"",S43/T43)</f>
        <v/>
      </c>
      <c r="V43" s="50"/>
      <c r="W43" s="50"/>
      <c r="X43" s="44"/>
      <c r="Y43" s="44"/>
      <c r="Z43" s="44"/>
      <c r="AA43" s="44"/>
      <c r="AB43" s="52" t="str">
        <f aca="false">IF(OR(B43="",X43&lt;&gt;"Yes"),"",SUMIFS($U$6:U43,$X$6:X43,"Yes"))</f>
        <v/>
      </c>
      <c r="AC43" s="52" t="str">
        <f aca="false">IF(AB43="","",MAX($AB$6:AB43))</f>
        <v/>
      </c>
      <c r="AD43" s="52" t="str">
        <f aca="false">IF(AB43="","",AB43-AC43)</f>
        <v/>
      </c>
    </row>
    <row r="44" customFormat="false" ht="15" hidden="false" customHeight="false" outlineLevel="0" collapsed="false">
      <c r="A44" s="44"/>
      <c r="B44" s="45"/>
      <c r="C44" s="44"/>
      <c r="D44" s="44"/>
      <c r="E44" s="44"/>
      <c r="F44" s="44"/>
      <c r="G44" s="44"/>
      <c r="H44" s="44"/>
      <c r="I44" s="47"/>
      <c r="J44" s="47"/>
      <c r="K44" s="47"/>
      <c r="L44" s="47"/>
      <c r="M44" s="48"/>
      <c r="N44" s="49" t="str">
        <f aca="false">IF(C44="","",IFERROR(VLOOKUP(C44,Lists!$A$5:$C$8,2,FALSE()),""))</f>
        <v/>
      </c>
      <c r="O44" s="49" t="str">
        <f aca="false">IF(C44="","",IFERROR(VLOOKUP(C44,Lists!$A$5:$C$8,3,FALSE()),""))</f>
        <v/>
      </c>
      <c r="P44" s="50"/>
      <c r="Q44" s="50"/>
      <c r="R44" s="51" t="str">
        <f aca="false">IF(OR(I44="",L44="",M44="",N44="",O44=""),"",IF(F44="Long",(L44-I44)/N44*O44*M44,IF(F44="Short",(I44-L44)/N44*O44*M44,"")))</f>
        <v/>
      </c>
      <c r="S44" s="51" t="str">
        <f aca="false">IF(R44="","",R44-P44-Q44)</f>
        <v/>
      </c>
      <c r="T44" s="51" t="str">
        <f aca="false">IF(OR(I44="",J44="",M44="",N44="",O44=""),"",ABS(I44-J44)/N44*O44*M44+P44+Q44)</f>
        <v/>
      </c>
      <c r="U44" s="52" t="str">
        <f aca="false">IF(OR(S44="",T44="",T44=0),"",S44/T44)</f>
        <v/>
      </c>
      <c r="V44" s="50"/>
      <c r="W44" s="50"/>
      <c r="X44" s="44"/>
      <c r="Y44" s="44"/>
      <c r="Z44" s="44"/>
      <c r="AA44" s="44"/>
      <c r="AB44" s="52" t="str">
        <f aca="false">IF(OR(B44="",X44&lt;&gt;"Yes"),"",SUMIFS($U$6:U44,$X$6:X44,"Yes"))</f>
        <v/>
      </c>
      <c r="AC44" s="52" t="str">
        <f aca="false">IF(AB44="","",MAX($AB$6:AB44))</f>
        <v/>
      </c>
      <c r="AD44" s="52" t="str">
        <f aca="false">IF(AB44="","",AB44-AC44)</f>
        <v/>
      </c>
    </row>
    <row r="45" customFormat="false" ht="15" hidden="false" customHeight="false" outlineLevel="0" collapsed="false">
      <c r="A45" s="44"/>
      <c r="B45" s="45"/>
      <c r="C45" s="44"/>
      <c r="D45" s="44"/>
      <c r="E45" s="44"/>
      <c r="F45" s="44"/>
      <c r="G45" s="44"/>
      <c r="H45" s="44"/>
      <c r="I45" s="47"/>
      <c r="J45" s="47"/>
      <c r="K45" s="47"/>
      <c r="L45" s="47"/>
      <c r="M45" s="48"/>
      <c r="N45" s="49" t="str">
        <f aca="false">IF(C45="","",IFERROR(VLOOKUP(C45,Lists!$A$5:$C$8,2,FALSE()),""))</f>
        <v/>
      </c>
      <c r="O45" s="49" t="str">
        <f aca="false">IF(C45="","",IFERROR(VLOOKUP(C45,Lists!$A$5:$C$8,3,FALSE()),""))</f>
        <v/>
      </c>
      <c r="P45" s="50"/>
      <c r="Q45" s="50"/>
      <c r="R45" s="51" t="str">
        <f aca="false">IF(OR(I45="",L45="",M45="",N45="",O45=""),"",IF(F45="Long",(L45-I45)/N45*O45*M45,IF(F45="Short",(I45-L45)/N45*O45*M45,"")))</f>
        <v/>
      </c>
      <c r="S45" s="51" t="str">
        <f aca="false">IF(R45="","",R45-P45-Q45)</f>
        <v/>
      </c>
      <c r="T45" s="51" t="str">
        <f aca="false">IF(OR(I45="",J45="",M45="",N45="",O45=""),"",ABS(I45-J45)/N45*O45*M45+P45+Q45)</f>
        <v/>
      </c>
      <c r="U45" s="52" t="str">
        <f aca="false">IF(OR(S45="",T45="",T45=0),"",S45/T45)</f>
        <v/>
      </c>
      <c r="V45" s="50"/>
      <c r="W45" s="50"/>
      <c r="X45" s="44"/>
      <c r="Y45" s="44"/>
      <c r="Z45" s="44"/>
      <c r="AA45" s="44"/>
      <c r="AB45" s="52" t="str">
        <f aca="false">IF(OR(B45="",X45&lt;&gt;"Yes"),"",SUMIFS($U$6:U45,$X$6:X45,"Yes"))</f>
        <v/>
      </c>
      <c r="AC45" s="52" t="str">
        <f aca="false">IF(AB45="","",MAX($AB$6:AB45))</f>
        <v/>
      </c>
      <c r="AD45" s="52" t="str">
        <f aca="false">IF(AB45="","",AB45-AC45)</f>
        <v/>
      </c>
    </row>
    <row r="46" customFormat="false" ht="15" hidden="false" customHeight="false" outlineLevel="0" collapsed="false">
      <c r="A46" s="44"/>
      <c r="B46" s="45"/>
      <c r="C46" s="44"/>
      <c r="D46" s="44"/>
      <c r="E46" s="44"/>
      <c r="F46" s="44"/>
      <c r="G46" s="44"/>
      <c r="H46" s="44"/>
      <c r="I46" s="47"/>
      <c r="J46" s="47"/>
      <c r="K46" s="47"/>
      <c r="L46" s="47"/>
      <c r="M46" s="48"/>
      <c r="N46" s="49" t="str">
        <f aca="false">IF(C46="","",IFERROR(VLOOKUP(C46,Lists!$A$5:$C$8,2,FALSE()),""))</f>
        <v/>
      </c>
      <c r="O46" s="49" t="str">
        <f aca="false">IF(C46="","",IFERROR(VLOOKUP(C46,Lists!$A$5:$C$8,3,FALSE()),""))</f>
        <v/>
      </c>
      <c r="P46" s="50"/>
      <c r="Q46" s="50"/>
      <c r="R46" s="51" t="str">
        <f aca="false">IF(OR(I46="",L46="",M46="",N46="",O46=""),"",IF(F46="Long",(L46-I46)/N46*O46*M46,IF(F46="Short",(I46-L46)/N46*O46*M46,"")))</f>
        <v/>
      </c>
      <c r="S46" s="51" t="str">
        <f aca="false">IF(R46="","",R46-P46-Q46)</f>
        <v/>
      </c>
      <c r="T46" s="51" t="str">
        <f aca="false">IF(OR(I46="",J46="",M46="",N46="",O46=""),"",ABS(I46-J46)/N46*O46*M46+P46+Q46)</f>
        <v/>
      </c>
      <c r="U46" s="52" t="str">
        <f aca="false">IF(OR(S46="",T46="",T46=0),"",S46/T46)</f>
        <v/>
      </c>
      <c r="V46" s="50"/>
      <c r="W46" s="50"/>
      <c r="X46" s="44"/>
      <c r="Y46" s="44"/>
      <c r="Z46" s="44"/>
      <c r="AA46" s="44"/>
      <c r="AB46" s="52" t="str">
        <f aca="false">IF(OR(B46="",X46&lt;&gt;"Yes"),"",SUMIFS($U$6:U46,$X$6:X46,"Yes"))</f>
        <v/>
      </c>
      <c r="AC46" s="52" t="str">
        <f aca="false">IF(AB46="","",MAX($AB$6:AB46))</f>
        <v/>
      </c>
      <c r="AD46" s="52" t="str">
        <f aca="false">IF(AB46="","",AB46-AC46)</f>
        <v/>
      </c>
    </row>
    <row r="47" customFormat="false" ht="15" hidden="false" customHeight="false" outlineLevel="0" collapsed="false">
      <c r="A47" s="44"/>
      <c r="B47" s="45"/>
      <c r="C47" s="44"/>
      <c r="D47" s="44"/>
      <c r="E47" s="44"/>
      <c r="F47" s="44"/>
      <c r="G47" s="44"/>
      <c r="H47" s="44"/>
      <c r="I47" s="47"/>
      <c r="J47" s="47"/>
      <c r="K47" s="47"/>
      <c r="L47" s="47"/>
      <c r="M47" s="48"/>
      <c r="N47" s="49" t="str">
        <f aca="false">IF(C47="","",IFERROR(VLOOKUP(C47,Lists!$A$5:$C$8,2,FALSE()),""))</f>
        <v/>
      </c>
      <c r="O47" s="49" t="str">
        <f aca="false">IF(C47="","",IFERROR(VLOOKUP(C47,Lists!$A$5:$C$8,3,FALSE()),""))</f>
        <v/>
      </c>
      <c r="P47" s="50"/>
      <c r="Q47" s="50"/>
      <c r="R47" s="51" t="str">
        <f aca="false">IF(OR(I47="",L47="",M47="",N47="",O47=""),"",IF(F47="Long",(L47-I47)/N47*O47*M47,IF(F47="Short",(I47-L47)/N47*O47*M47,"")))</f>
        <v/>
      </c>
      <c r="S47" s="51" t="str">
        <f aca="false">IF(R47="","",R47-P47-Q47)</f>
        <v/>
      </c>
      <c r="T47" s="51" t="str">
        <f aca="false">IF(OR(I47="",J47="",M47="",N47="",O47=""),"",ABS(I47-J47)/N47*O47*M47+P47+Q47)</f>
        <v/>
      </c>
      <c r="U47" s="52" t="str">
        <f aca="false">IF(OR(S47="",T47="",T47=0),"",S47/T47)</f>
        <v/>
      </c>
      <c r="V47" s="50"/>
      <c r="W47" s="50"/>
      <c r="X47" s="44"/>
      <c r="Y47" s="44"/>
      <c r="Z47" s="44"/>
      <c r="AA47" s="44"/>
      <c r="AB47" s="52" t="str">
        <f aca="false">IF(OR(B47="",X47&lt;&gt;"Yes"),"",SUMIFS($U$6:U47,$X$6:X47,"Yes"))</f>
        <v/>
      </c>
      <c r="AC47" s="52" t="str">
        <f aca="false">IF(AB47="","",MAX($AB$6:AB47))</f>
        <v/>
      </c>
      <c r="AD47" s="52" t="str">
        <f aca="false">IF(AB47="","",AB47-AC47)</f>
        <v/>
      </c>
    </row>
    <row r="48" customFormat="false" ht="15" hidden="false" customHeight="false" outlineLevel="0" collapsed="false">
      <c r="A48" s="44"/>
      <c r="B48" s="45"/>
      <c r="C48" s="44"/>
      <c r="D48" s="44"/>
      <c r="E48" s="44"/>
      <c r="F48" s="44"/>
      <c r="G48" s="44"/>
      <c r="H48" s="44"/>
      <c r="I48" s="47"/>
      <c r="J48" s="47"/>
      <c r="K48" s="47"/>
      <c r="L48" s="47"/>
      <c r="M48" s="48"/>
      <c r="N48" s="49" t="str">
        <f aca="false">IF(C48="","",IFERROR(VLOOKUP(C48,Lists!$A$5:$C$8,2,FALSE()),""))</f>
        <v/>
      </c>
      <c r="O48" s="49" t="str">
        <f aca="false">IF(C48="","",IFERROR(VLOOKUP(C48,Lists!$A$5:$C$8,3,FALSE()),""))</f>
        <v/>
      </c>
      <c r="P48" s="50"/>
      <c r="Q48" s="50"/>
      <c r="R48" s="51" t="str">
        <f aca="false">IF(OR(I48="",L48="",M48="",N48="",O48=""),"",IF(F48="Long",(L48-I48)/N48*O48*M48,IF(F48="Short",(I48-L48)/N48*O48*M48,"")))</f>
        <v/>
      </c>
      <c r="S48" s="51" t="str">
        <f aca="false">IF(R48="","",R48-P48-Q48)</f>
        <v/>
      </c>
      <c r="T48" s="51" t="str">
        <f aca="false">IF(OR(I48="",J48="",M48="",N48="",O48=""),"",ABS(I48-J48)/N48*O48*M48+P48+Q48)</f>
        <v/>
      </c>
      <c r="U48" s="52" t="str">
        <f aca="false">IF(OR(S48="",T48="",T48=0),"",S48/T48)</f>
        <v/>
      </c>
      <c r="V48" s="50"/>
      <c r="W48" s="50"/>
      <c r="X48" s="44"/>
      <c r="Y48" s="44"/>
      <c r="Z48" s="44"/>
      <c r="AA48" s="44"/>
      <c r="AB48" s="52" t="str">
        <f aca="false">IF(OR(B48="",X48&lt;&gt;"Yes"),"",SUMIFS($U$6:U48,$X$6:X48,"Yes"))</f>
        <v/>
      </c>
      <c r="AC48" s="52" t="str">
        <f aca="false">IF(AB48="","",MAX($AB$6:AB48))</f>
        <v/>
      </c>
      <c r="AD48" s="52" t="str">
        <f aca="false">IF(AB48="","",AB48-AC48)</f>
        <v/>
      </c>
    </row>
    <row r="49" customFormat="false" ht="15" hidden="false" customHeight="false" outlineLevel="0" collapsed="false">
      <c r="A49" s="44"/>
      <c r="B49" s="45"/>
      <c r="C49" s="44"/>
      <c r="D49" s="44"/>
      <c r="E49" s="44"/>
      <c r="F49" s="44"/>
      <c r="G49" s="44"/>
      <c r="H49" s="44"/>
      <c r="I49" s="47"/>
      <c r="J49" s="47"/>
      <c r="K49" s="47"/>
      <c r="L49" s="47"/>
      <c r="M49" s="48"/>
      <c r="N49" s="49" t="str">
        <f aca="false">IF(C49="","",IFERROR(VLOOKUP(C49,Lists!$A$5:$C$8,2,FALSE()),""))</f>
        <v/>
      </c>
      <c r="O49" s="49" t="str">
        <f aca="false">IF(C49="","",IFERROR(VLOOKUP(C49,Lists!$A$5:$C$8,3,FALSE()),""))</f>
        <v/>
      </c>
      <c r="P49" s="50"/>
      <c r="Q49" s="50"/>
      <c r="R49" s="51" t="str">
        <f aca="false">IF(OR(I49="",L49="",M49="",N49="",O49=""),"",IF(F49="Long",(L49-I49)/N49*O49*M49,IF(F49="Short",(I49-L49)/N49*O49*M49,"")))</f>
        <v/>
      </c>
      <c r="S49" s="51" t="str">
        <f aca="false">IF(R49="","",R49-P49-Q49)</f>
        <v/>
      </c>
      <c r="T49" s="51" t="str">
        <f aca="false">IF(OR(I49="",J49="",M49="",N49="",O49=""),"",ABS(I49-J49)/N49*O49*M49+P49+Q49)</f>
        <v/>
      </c>
      <c r="U49" s="52" t="str">
        <f aca="false">IF(OR(S49="",T49="",T49=0),"",S49/T49)</f>
        <v/>
      </c>
      <c r="V49" s="50"/>
      <c r="W49" s="50"/>
      <c r="X49" s="44"/>
      <c r="Y49" s="44"/>
      <c r="Z49" s="44"/>
      <c r="AA49" s="44"/>
      <c r="AB49" s="52" t="str">
        <f aca="false">IF(OR(B49="",X49&lt;&gt;"Yes"),"",SUMIFS($U$6:U49,$X$6:X49,"Yes"))</f>
        <v/>
      </c>
      <c r="AC49" s="52" t="str">
        <f aca="false">IF(AB49="","",MAX($AB$6:AB49))</f>
        <v/>
      </c>
      <c r="AD49" s="52" t="str">
        <f aca="false">IF(AB49="","",AB49-AC49)</f>
        <v/>
      </c>
    </row>
    <row r="50" customFormat="false" ht="15" hidden="false" customHeight="false" outlineLevel="0" collapsed="false">
      <c r="A50" s="44"/>
      <c r="B50" s="45"/>
      <c r="C50" s="44"/>
      <c r="D50" s="44"/>
      <c r="E50" s="44"/>
      <c r="F50" s="44"/>
      <c r="G50" s="44"/>
      <c r="H50" s="44"/>
      <c r="I50" s="47"/>
      <c r="J50" s="47"/>
      <c r="K50" s="47"/>
      <c r="L50" s="47"/>
      <c r="M50" s="48"/>
      <c r="N50" s="49" t="str">
        <f aca="false">IF(C50="","",IFERROR(VLOOKUP(C50,Lists!$A$5:$C$8,2,FALSE()),""))</f>
        <v/>
      </c>
      <c r="O50" s="49" t="str">
        <f aca="false">IF(C50="","",IFERROR(VLOOKUP(C50,Lists!$A$5:$C$8,3,FALSE()),""))</f>
        <v/>
      </c>
      <c r="P50" s="50"/>
      <c r="Q50" s="50"/>
      <c r="R50" s="51" t="str">
        <f aca="false">IF(OR(I50="",L50="",M50="",N50="",O50=""),"",IF(F50="Long",(L50-I50)/N50*O50*M50,IF(F50="Short",(I50-L50)/N50*O50*M50,"")))</f>
        <v/>
      </c>
      <c r="S50" s="51" t="str">
        <f aca="false">IF(R50="","",R50-P50-Q50)</f>
        <v/>
      </c>
      <c r="T50" s="51" t="str">
        <f aca="false">IF(OR(I50="",J50="",M50="",N50="",O50=""),"",ABS(I50-J50)/N50*O50*M50+P50+Q50)</f>
        <v/>
      </c>
      <c r="U50" s="52" t="str">
        <f aca="false">IF(OR(S50="",T50="",T50=0),"",S50/T50)</f>
        <v/>
      </c>
      <c r="V50" s="50"/>
      <c r="W50" s="50"/>
      <c r="X50" s="44"/>
      <c r="Y50" s="44"/>
      <c r="Z50" s="44"/>
      <c r="AA50" s="44"/>
      <c r="AB50" s="52" t="str">
        <f aca="false">IF(OR(B50="",X50&lt;&gt;"Yes"),"",SUMIFS($U$6:U50,$X$6:X50,"Yes"))</f>
        <v/>
      </c>
      <c r="AC50" s="52" t="str">
        <f aca="false">IF(AB50="","",MAX($AB$6:AB50))</f>
        <v/>
      </c>
      <c r="AD50" s="52" t="str">
        <f aca="false">IF(AB50="","",AB50-AC50)</f>
        <v/>
      </c>
    </row>
    <row r="51" customFormat="false" ht="15" hidden="false" customHeight="false" outlineLevel="0" collapsed="false">
      <c r="A51" s="44"/>
      <c r="B51" s="45"/>
      <c r="C51" s="44"/>
      <c r="D51" s="44"/>
      <c r="E51" s="44"/>
      <c r="F51" s="44"/>
      <c r="G51" s="44"/>
      <c r="H51" s="44"/>
      <c r="I51" s="47"/>
      <c r="J51" s="47"/>
      <c r="K51" s="47"/>
      <c r="L51" s="47"/>
      <c r="M51" s="48"/>
      <c r="N51" s="49" t="str">
        <f aca="false">IF(C51="","",IFERROR(VLOOKUP(C51,Lists!$A$5:$C$8,2,FALSE()),""))</f>
        <v/>
      </c>
      <c r="O51" s="49" t="str">
        <f aca="false">IF(C51="","",IFERROR(VLOOKUP(C51,Lists!$A$5:$C$8,3,FALSE()),""))</f>
        <v/>
      </c>
      <c r="P51" s="50"/>
      <c r="Q51" s="50"/>
      <c r="R51" s="51" t="str">
        <f aca="false">IF(OR(I51="",L51="",M51="",N51="",O51=""),"",IF(F51="Long",(L51-I51)/N51*O51*M51,IF(F51="Short",(I51-L51)/N51*O51*M51,"")))</f>
        <v/>
      </c>
      <c r="S51" s="51" t="str">
        <f aca="false">IF(R51="","",R51-P51-Q51)</f>
        <v/>
      </c>
      <c r="T51" s="51" t="str">
        <f aca="false">IF(OR(I51="",J51="",M51="",N51="",O51=""),"",ABS(I51-J51)/N51*O51*M51+P51+Q51)</f>
        <v/>
      </c>
      <c r="U51" s="52" t="str">
        <f aca="false">IF(OR(S51="",T51="",T51=0),"",S51/T51)</f>
        <v/>
      </c>
      <c r="V51" s="50"/>
      <c r="W51" s="50"/>
      <c r="X51" s="44"/>
      <c r="Y51" s="44"/>
      <c r="Z51" s="44"/>
      <c r="AA51" s="44"/>
      <c r="AB51" s="52" t="str">
        <f aca="false">IF(OR(B51="",X51&lt;&gt;"Yes"),"",SUMIFS($U$6:U51,$X$6:X51,"Yes"))</f>
        <v/>
      </c>
      <c r="AC51" s="52" t="str">
        <f aca="false">IF(AB51="","",MAX($AB$6:AB51))</f>
        <v/>
      </c>
      <c r="AD51" s="52" t="str">
        <f aca="false">IF(AB51="","",AB51-AC51)</f>
        <v/>
      </c>
    </row>
    <row r="52" customFormat="false" ht="15" hidden="false" customHeight="false" outlineLevel="0" collapsed="false">
      <c r="A52" s="44"/>
      <c r="B52" s="45"/>
      <c r="C52" s="44"/>
      <c r="D52" s="44"/>
      <c r="E52" s="44"/>
      <c r="F52" s="44"/>
      <c r="G52" s="44"/>
      <c r="H52" s="44"/>
      <c r="I52" s="47"/>
      <c r="J52" s="47"/>
      <c r="K52" s="47"/>
      <c r="L52" s="47"/>
      <c r="M52" s="48"/>
      <c r="N52" s="49" t="str">
        <f aca="false">IF(C52="","",IFERROR(VLOOKUP(C52,Lists!$A$5:$C$8,2,FALSE()),""))</f>
        <v/>
      </c>
      <c r="O52" s="49" t="str">
        <f aca="false">IF(C52="","",IFERROR(VLOOKUP(C52,Lists!$A$5:$C$8,3,FALSE()),""))</f>
        <v/>
      </c>
      <c r="P52" s="50"/>
      <c r="Q52" s="50"/>
      <c r="R52" s="51" t="str">
        <f aca="false">IF(OR(I52="",L52="",M52="",N52="",O52=""),"",IF(F52="Long",(L52-I52)/N52*O52*M52,IF(F52="Short",(I52-L52)/N52*O52*M52,"")))</f>
        <v/>
      </c>
      <c r="S52" s="51" t="str">
        <f aca="false">IF(R52="","",R52-P52-Q52)</f>
        <v/>
      </c>
      <c r="T52" s="51" t="str">
        <f aca="false">IF(OR(I52="",J52="",M52="",N52="",O52=""),"",ABS(I52-J52)/N52*O52*M52+P52+Q52)</f>
        <v/>
      </c>
      <c r="U52" s="52" t="str">
        <f aca="false">IF(OR(S52="",T52="",T52=0),"",S52/T52)</f>
        <v/>
      </c>
      <c r="V52" s="50"/>
      <c r="W52" s="50"/>
      <c r="X52" s="44"/>
      <c r="Y52" s="44"/>
      <c r="Z52" s="44"/>
      <c r="AA52" s="44"/>
      <c r="AB52" s="52" t="str">
        <f aca="false">IF(OR(B52="",X52&lt;&gt;"Yes"),"",SUMIFS($U$6:U52,$X$6:X52,"Yes"))</f>
        <v/>
      </c>
      <c r="AC52" s="52" t="str">
        <f aca="false">IF(AB52="","",MAX($AB$6:AB52))</f>
        <v/>
      </c>
      <c r="AD52" s="52" t="str">
        <f aca="false">IF(AB52="","",AB52-AC52)</f>
        <v/>
      </c>
    </row>
    <row r="53" customFormat="false" ht="15" hidden="false" customHeight="false" outlineLevel="0" collapsed="false">
      <c r="A53" s="44"/>
      <c r="B53" s="45"/>
      <c r="C53" s="44"/>
      <c r="D53" s="44"/>
      <c r="E53" s="44"/>
      <c r="F53" s="44"/>
      <c r="G53" s="44"/>
      <c r="H53" s="44"/>
      <c r="I53" s="47"/>
      <c r="J53" s="47"/>
      <c r="K53" s="47"/>
      <c r="L53" s="47"/>
      <c r="M53" s="48"/>
      <c r="N53" s="49" t="str">
        <f aca="false">IF(C53="","",IFERROR(VLOOKUP(C53,Lists!$A$5:$C$8,2,FALSE()),""))</f>
        <v/>
      </c>
      <c r="O53" s="49" t="str">
        <f aca="false">IF(C53="","",IFERROR(VLOOKUP(C53,Lists!$A$5:$C$8,3,FALSE()),""))</f>
        <v/>
      </c>
      <c r="P53" s="50"/>
      <c r="Q53" s="50"/>
      <c r="R53" s="51" t="str">
        <f aca="false">IF(OR(I53="",L53="",M53="",N53="",O53=""),"",IF(F53="Long",(L53-I53)/N53*O53*M53,IF(F53="Short",(I53-L53)/N53*O53*M53,"")))</f>
        <v/>
      </c>
      <c r="S53" s="51" t="str">
        <f aca="false">IF(R53="","",R53-P53-Q53)</f>
        <v/>
      </c>
      <c r="T53" s="51" t="str">
        <f aca="false">IF(OR(I53="",J53="",M53="",N53="",O53=""),"",ABS(I53-J53)/N53*O53*M53+P53+Q53)</f>
        <v/>
      </c>
      <c r="U53" s="52" t="str">
        <f aca="false">IF(OR(S53="",T53="",T53=0),"",S53/T53)</f>
        <v/>
      </c>
      <c r="V53" s="50"/>
      <c r="W53" s="50"/>
      <c r="X53" s="44"/>
      <c r="Y53" s="44"/>
      <c r="Z53" s="44"/>
      <c r="AA53" s="44"/>
      <c r="AB53" s="52" t="str">
        <f aca="false">IF(OR(B53="",X53&lt;&gt;"Yes"),"",SUMIFS($U$6:U53,$X$6:X53,"Yes"))</f>
        <v/>
      </c>
      <c r="AC53" s="52" t="str">
        <f aca="false">IF(AB53="","",MAX($AB$6:AB53))</f>
        <v/>
      </c>
      <c r="AD53" s="52" t="str">
        <f aca="false">IF(AB53="","",AB53-AC53)</f>
        <v/>
      </c>
    </row>
    <row r="54" customFormat="false" ht="15" hidden="false" customHeight="false" outlineLevel="0" collapsed="false">
      <c r="A54" s="44"/>
      <c r="B54" s="45"/>
      <c r="C54" s="44"/>
      <c r="D54" s="44"/>
      <c r="E54" s="44"/>
      <c r="F54" s="44"/>
      <c r="G54" s="44"/>
      <c r="H54" s="44"/>
      <c r="I54" s="47"/>
      <c r="J54" s="47"/>
      <c r="K54" s="47"/>
      <c r="L54" s="47"/>
      <c r="M54" s="48"/>
      <c r="N54" s="49" t="str">
        <f aca="false">IF(C54="","",IFERROR(VLOOKUP(C54,Lists!$A$5:$C$8,2,FALSE()),""))</f>
        <v/>
      </c>
      <c r="O54" s="49" t="str">
        <f aca="false">IF(C54="","",IFERROR(VLOOKUP(C54,Lists!$A$5:$C$8,3,FALSE()),""))</f>
        <v/>
      </c>
      <c r="P54" s="50"/>
      <c r="Q54" s="50"/>
      <c r="R54" s="51" t="str">
        <f aca="false">IF(OR(I54="",L54="",M54="",N54="",O54=""),"",IF(F54="Long",(L54-I54)/N54*O54*M54,IF(F54="Short",(I54-L54)/N54*O54*M54,"")))</f>
        <v/>
      </c>
      <c r="S54" s="51" t="str">
        <f aca="false">IF(R54="","",R54-P54-Q54)</f>
        <v/>
      </c>
      <c r="T54" s="51" t="str">
        <f aca="false">IF(OR(I54="",J54="",M54="",N54="",O54=""),"",ABS(I54-J54)/N54*O54*M54+P54+Q54)</f>
        <v/>
      </c>
      <c r="U54" s="52" t="str">
        <f aca="false">IF(OR(S54="",T54="",T54=0),"",S54/T54)</f>
        <v/>
      </c>
      <c r="V54" s="50"/>
      <c r="W54" s="50"/>
      <c r="X54" s="44"/>
      <c r="Y54" s="44"/>
      <c r="Z54" s="44"/>
      <c r="AA54" s="44"/>
      <c r="AB54" s="52" t="str">
        <f aca="false">IF(OR(B54="",X54&lt;&gt;"Yes"),"",SUMIFS($U$6:U54,$X$6:X54,"Yes"))</f>
        <v/>
      </c>
      <c r="AC54" s="52" t="str">
        <f aca="false">IF(AB54="","",MAX($AB$6:AB54))</f>
        <v/>
      </c>
      <c r="AD54" s="52" t="str">
        <f aca="false">IF(AB54="","",AB54-AC54)</f>
        <v/>
      </c>
    </row>
    <row r="55" customFormat="false" ht="15" hidden="false" customHeight="false" outlineLevel="0" collapsed="false">
      <c r="A55" s="44"/>
      <c r="B55" s="45"/>
      <c r="C55" s="44"/>
      <c r="D55" s="44"/>
      <c r="E55" s="44"/>
      <c r="F55" s="44"/>
      <c r="G55" s="44"/>
      <c r="H55" s="44"/>
      <c r="I55" s="47"/>
      <c r="J55" s="47"/>
      <c r="K55" s="47"/>
      <c r="L55" s="47"/>
      <c r="M55" s="48"/>
      <c r="N55" s="49" t="str">
        <f aca="false">IF(C55="","",IFERROR(VLOOKUP(C55,Lists!$A$5:$C$8,2,FALSE()),""))</f>
        <v/>
      </c>
      <c r="O55" s="49" t="str">
        <f aca="false">IF(C55="","",IFERROR(VLOOKUP(C55,Lists!$A$5:$C$8,3,FALSE()),""))</f>
        <v/>
      </c>
      <c r="P55" s="50"/>
      <c r="Q55" s="50"/>
      <c r="R55" s="51" t="str">
        <f aca="false">IF(OR(I55="",L55="",M55="",N55="",O55=""),"",IF(F55="Long",(L55-I55)/N55*O55*M55,IF(F55="Short",(I55-L55)/N55*O55*M55,"")))</f>
        <v/>
      </c>
      <c r="S55" s="51" t="str">
        <f aca="false">IF(R55="","",R55-P55-Q55)</f>
        <v/>
      </c>
      <c r="T55" s="51" t="str">
        <f aca="false">IF(OR(I55="",J55="",M55="",N55="",O55=""),"",ABS(I55-J55)/N55*O55*M55+P55+Q55)</f>
        <v/>
      </c>
      <c r="U55" s="52" t="str">
        <f aca="false">IF(OR(S55="",T55="",T55=0),"",S55/T55)</f>
        <v/>
      </c>
      <c r="V55" s="50"/>
      <c r="W55" s="50"/>
      <c r="X55" s="44"/>
      <c r="Y55" s="44"/>
      <c r="Z55" s="44"/>
      <c r="AA55" s="44"/>
      <c r="AB55" s="52" t="str">
        <f aca="false">IF(OR(B55="",X55&lt;&gt;"Yes"),"",SUMIFS($U$6:U55,$X$6:X55,"Yes"))</f>
        <v/>
      </c>
      <c r="AC55" s="52" t="str">
        <f aca="false">IF(AB55="","",MAX($AB$6:AB55))</f>
        <v/>
      </c>
      <c r="AD55" s="52" t="str">
        <f aca="false">IF(AB55="","",AB55-AC55)</f>
        <v/>
      </c>
    </row>
    <row r="56" customFormat="false" ht="15" hidden="false" customHeight="false" outlineLevel="0" collapsed="false">
      <c r="A56" s="44"/>
      <c r="B56" s="45"/>
      <c r="C56" s="44"/>
      <c r="D56" s="44"/>
      <c r="E56" s="44"/>
      <c r="F56" s="44"/>
      <c r="G56" s="44"/>
      <c r="H56" s="44"/>
      <c r="I56" s="47"/>
      <c r="J56" s="47"/>
      <c r="K56" s="47"/>
      <c r="L56" s="47"/>
      <c r="M56" s="48"/>
      <c r="N56" s="49" t="str">
        <f aca="false">IF(C56="","",IFERROR(VLOOKUP(C56,Lists!$A$5:$C$8,2,FALSE()),""))</f>
        <v/>
      </c>
      <c r="O56" s="49" t="str">
        <f aca="false">IF(C56="","",IFERROR(VLOOKUP(C56,Lists!$A$5:$C$8,3,FALSE()),""))</f>
        <v/>
      </c>
      <c r="P56" s="50"/>
      <c r="Q56" s="50"/>
      <c r="R56" s="51" t="str">
        <f aca="false">IF(OR(I56="",L56="",M56="",N56="",O56=""),"",IF(F56="Long",(L56-I56)/N56*O56*M56,IF(F56="Short",(I56-L56)/N56*O56*M56,"")))</f>
        <v/>
      </c>
      <c r="S56" s="51" t="str">
        <f aca="false">IF(R56="","",R56-P56-Q56)</f>
        <v/>
      </c>
      <c r="T56" s="51" t="str">
        <f aca="false">IF(OR(I56="",J56="",M56="",N56="",O56=""),"",ABS(I56-J56)/N56*O56*M56+P56+Q56)</f>
        <v/>
      </c>
      <c r="U56" s="52" t="str">
        <f aca="false">IF(OR(S56="",T56="",T56=0),"",S56/T56)</f>
        <v/>
      </c>
      <c r="V56" s="50"/>
      <c r="W56" s="50"/>
      <c r="X56" s="44"/>
      <c r="Y56" s="44"/>
      <c r="Z56" s="44"/>
      <c r="AA56" s="44"/>
      <c r="AB56" s="52" t="str">
        <f aca="false">IF(OR(B56="",X56&lt;&gt;"Yes"),"",SUMIFS($U$6:U56,$X$6:X56,"Yes"))</f>
        <v/>
      </c>
      <c r="AC56" s="52" t="str">
        <f aca="false">IF(AB56="","",MAX($AB$6:AB56))</f>
        <v/>
      </c>
      <c r="AD56" s="52" t="str">
        <f aca="false">IF(AB56="","",AB56-AC56)</f>
        <v/>
      </c>
    </row>
    <row r="57" customFormat="false" ht="15" hidden="false" customHeight="false" outlineLevel="0" collapsed="false">
      <c r="A57" s="44"/>
      <c r="B57" s="45"/>
      <c r="C57" s="44"/>
      <c r="D57" s="44"/>
      <c r="E57" s="44"/>
      <c r="F57" s="44"/>
      <c r="G57" s="44"/>
      <c r="H57" s="44"/>
      <c r="I57" s="47"/>
      <c r="J57" s="47"/>
      <c r="K57" s="47"/>
      <c r="L57" s="47"/>
      <c r="M57" s="48"/>
      <c r="N57" s="49" t="str">
        <f aca="false">IF(C57="","",IFERROR(VLOOKUP(C57,Lists!$A$5:$C$8,2,FALSE()),""))</f>
        <v/>
      </c>
      <c r="O57" s="49" t="str">
        <f aca="false">IF(C57="","",IFERROR(VLOOKUP(C57,Lists!$A$5:$C$8,3,FALSE()),""))</f>
        <v/>
      </c>
      <c r="P57" s="50"/>
      <c r="Q57" s="50"/>
      <c r="R57" s="51" t="str">
        <f aca="false">IF(OR(I57="",L57="",M57="",N57="",O57=""),"",IF(F57="Long",(L57-I57)/N57*O57*M57,IF(F57="Short",(I57-L57)/N57*O57*M57,"")))</f>
        <v/>
      </c>
      <c r="S57" s="51" t="str">
        <f aca="false">IF(R57="","",R57-P57-Q57)</f>
        <v/>
      </c>
      <c r="T57" s="51" t="str">
        <f aca="false">IF(OR(I57="",J57="",M57="",N57="",O57=""),"",ABS(I57-J57)/N57*O57*M57+P57+Q57)</f>
        <v/>
      </c>
      <c r="U57" s="52" t="str">
        <f aca="false">IF(OR(S57="",T57="",T57=0),"",S57/T57)</f>
        <v/>
      </c>
      <c r="V57" s="50"/>
      <c r="W57" s="50"/>
      <c r="X57" s="44"/>
      <c r="Y57" s="44"/>
      <c r="Z57" s="44"/>
      <c r="AA57" s="44"/>
      <c r="AB57" s="52" t="str">
        <f aca="false">IF(OR(B57="",X57&lt;&gt;"Yes"),"",SUMIFS($U$6:U57,$X$6:X57,"Yes"))</f>
        <v/>
      </c>
      <c r="AC57" s="52" t="str">
        <f aca="false">IF(AB57="","",MAX($AB$6:AB57))</f>
        <v/>
      </c>
      <c r="AD57" s="52" t="str">
        <f aca="false">IF(AB57="","",AB57-AC57)</f>
        <v/>
      </c>
    </row>
    <row r="58" customFormat="false" ht="15" hidden="false" customHeight="false" outlineLevel="0" collapsed="false">
      <c r="A58" s="44"/>
      <c r="B58" s="45"/>
      <c r="C58" s="44"/>
      <c r="D58" s="44"/>
      <c r="E58" s="44"/>
      <c r="F58" s="44"/>
      <c r="G58" s="44"/>
      <c r="H58" s="44"/>
      <c r="I58" s="47"/>
      <c r="J58" s="47"/>
      <c r="K58" s="47"/>
      <c r="L58" s="47"/>
      <c r="M58" s="48"/>
      <c r="N58" s="49" t="str">
        <f aca="false">IF(C58="","",IFERROR(VLOOKUP(C58,Lists!$A$5:$C$8,2,FALSE()),""))</f>
        <v/>
      </c>
      <c r="O58" s="49" t="str">
        <f aca="false">IF(C58="","",IFERROR(VLOOKUP(C58,Lists!$A$5:$C$8,3,FALSE()),""))</f>
        <v/>
      </c>
      <c r="P58" s="50"/>
      <c r="Q58" s="50"/>
      <c r="R58" s="51" t="str">
        <f aca="false">IF(OR(I58="",L58="",M58="",N58="",O58=""),"",IF(F58="Long",(L58-I58)/N58*O58*M58,IF(F58="Short",(I58-L58)/N58*O58*M58,"")))</f>
        <v/>
      </c>
      <c r="S58" s="51" t="str">
        <f aca="false">IF(R58="","",R58-P58-Q58)</f>
        <v/>
      </c>
      <c r="T58" s="51" t="str">
        <f aca="false">IF(OR(I58="",J58="",M58="",N58="",O58=""),"",ABS(I58-J58)/N58*O58*M58+P58+Q58)</f>
        <v/>
      </c>
      <c r="U58" s="52" t="str">
        <f aca="false">IF(OR(S58="",T58="",T58=0),"",S58/T58)</f>
        <v/>
      </c>
      <c r="V58" s="50"/>
      <c r="W58" s="50"/>
      <c r="X58" s="44"/>
      <c r="Y58" s="44"/>
      <c r="Z58" s="44"/>
      <c r="AA58" s="44"/>
      <c r="AB58" s="52" t="str">
        <f aca="false">IF(OR(B58="",X58&lt;&gt;"Yes"),"",SUMIFS($U$6:U58,$X$6:X58,"Yes"))</f>
        <v/>
      </c>
      <c r="AC58" s="52" t="str">
        <f aca="false">IF(AB58="","",MAX($AB$6:AB58))</f>
        <v/>
      </c>
      <c r="AD58" s="52" t="str">
        <f aca="false">IF(AB58="","",AB58-AC58)</f>
        <v/>
      </c>
    </row>
    <row r="59" customFormat="false" ht="15" hidden="false" customHeight="false" outlineLevel="0" collapsed="false">
      <c r="A59" s="44"/>
      <c r="B59" s="45"/>
      <c r="C59" s="44"/>
      <c r="D59" s="44"/>
      <c r="E59" s="44"/>
      <c r="F59" s="44"/>
      <c r="G59" s="44"/>
      <c r="H59" s="44"/>
      <c r="I59" s="47"/>
      <c r="J59" s="47"/>
      <c r="K59" s="47"/>
      <c r="L59" s="47"/>
      <c r="M59" s="48"/>
      <c r="N59" s="49" t="str">
        <f aca="false">IF(C59="","",IFERROR(VLOOKUP(C59,Lists!$A$5:$C$8,2,FALSE()),""))</f>
        <v/>
      </c>
      <c r="O59" s="49" t="str">
        <f aca="false">IF(C59="","",IFERROR(VLOOKUP(C59,Lists!$A$5:$C$8,3,FALSE()),""))</f>
        <v/>
      </c>
      <c r="P59" s="50"/>
      <c r="Q59" s="50"/>
      <c r="R59" s="51" t="str">
        <f aca="false">IF(OR(I59="",L59="",M59="",N59="",O59=""),"",IF(F59="Long",(L59-I59)/N59*O59*M59,IF(F59="Short",(I59-L59)/N59*O59*M59,"")))</f>
        <v/>
      </c>
      <c r="S59" s="51" t="str">
        <f aca="false">IF(R59="","",R59-P59-Q59)</f>
        <v/>
      </c>
      <c r="T59" s="51" t="str">
        <f aca="false">IF(OR(I59="",J59="",M59="",N59="",O59=""),"",ABS(I59-J59)/N59*O59*M59+P59+Q59)</f>
        <v/>
      </c>
      <c r="U59" s="52" t="str">
        <f aca="false">IF(OR(S59="",T59="",T59=0),"",S59/T59)</f>
        <v/>
      </c>
      <c r="V59" s="50"/>
      <c r="W59" s="50"/>
      <c r="X59" s="44"/>
      <c r="Y59" s="44"/>
      <c r="Z59" s="44"/>
      <c r="AA59" s="44"/>
      <c r="AB59" s="52" t="str">
        <f aca="false">IF(OR(B59="",X59&lt;&gt;"Yes"),"",SUMIFS($U$6:U59,$X$6:X59,"Yes"))</f>
        <v/>
      </c>
      <c r="AC59" s="52" t="str">
        <f aca="false">IF(AB59="","",MAX($AB$6:AB59))</f>
        <v/>
      </c>
      <c r="AD59" s="52" t="str">
        <f aca="false">IF(AB59="","",AB59-AC59)</f>
        <v/>
      </c>
    </row>
    <row r="60" customFormat="false" ht="15" hidden="false" customHeight="false" outlineLevel="0" collapsed="false">
      <c r="A60" s="44"/>
      <c r="B60" s="45"/>
      <c r="C60" s="44"/>
      <c r="D60" s="44"/>
      <c r="E60" s="44"/>
      <c r="F60" s="44"/>
      <c r="G60" s="44"/>
      <c r="H60" s="44"/>
      <c r="I60" s="47"/>
      <c r="J60" s="47"/>
      <c r="K60" s="47"/>
      <c r="L60" s="47"/>
      <c r="M60" s="48"/>
      <c r="N60" s="49" t="str">
        <f aca="false">IF(C60="","",IFERROR(VLOOKUP(C60,Lists!$A$5:$C$8,2,FALSE()),""))</f>
        <v/>
      </c>
      <c r="O60" s="49" t="str">
        <f aca="false">IF(C60="","",IFERROR(VLOOKUP(C60,Lists!$A$5:$C$8,3,FALSE()),""))</f>
        <v/>
      </c>
      <c r="P60" s="50"/>
      <c r="Q60" s="50"/>
      <c r="R60" s="51" t="str">
        <f aca="false">IF(OR(I60="",L60="",M60="",N60="",O60=""),"",IF(F60="Long",(L60-I60)/N60*O60*M60,IF(F60="Short",(I60-L60)/N60*O60*M60,"")))</f>
        <v/>
      </c>
      <c r="S60" s="51" t="str">
        <f aca="false">IF(R60="","",R60-P60-Q60)</f>
        <v/>
      </c>
      <c r="T60" s="51" t="str">
        <f aca="false">IF(OR(I60="",J60="",M60="",N60="",O60=""),"",ABS(I60-J60)/N60*O60*M60+P60+Q60)</f>
        <v/>
      </c>
      <c r="U60" s="52" t="str">
        <f aca="false">IF(OR(S60="",T60="",T60=0),"",S60/T60)</f>
        <v/>
      </c>
      <c r="V60" s="50"/>
      <c r="W60" s="50"/>
      <c r="X60" s="44"/>
      <c r="Y60" s="44"/>
      <c r="Z60" s="44"/>
      <c r="AA60" s="44"/>
      <c r="AB60" s="52" t="str">
        <f aca="false">IF(OR(B60="",X60&lt;&gt;"Yes"),"",SUMIFS($U$6:U60,$X$6:X60,"Yes"))</f>
        <v/>
      </c>
      <c r="AC60" s="52" t="str">
        <f aca="false">IF(AB60="","",MAX($AB$6:AB60))</f>
        <v/>
      </c>
      <c r="AD60" s="52" t="str">
        <f aca="false">IF(AB60="","",AB60-AC60)</f>
        <v/>
      </c>
    </row>
    <row r="61" customFormat="false" ht="15" hidden="false" customHeight="false" outlineLevel="0" collapsed="false">
      <c r="A61" s="44"/>
      <c r="B61" s="45"/>
      <c r="C61" s="44"/>
      <c r="D61" s="44"/>
      <c r="E61" s="44"/>
      <c r="F61" s="44"/>
      <c r="G61" s="44"/>
      <c r="H61" s="44"/>
      <c r="I61" s="47"/>
      <c r="J61" s="47"/>
      <c r="K61" s="47"/>
      <c r="L61" s="47"/>
      <c r="M61" s="48"/>
      <c r="N61" s="49" t="str">
        <f aca="false">IF(C61="","",IFERROR(VLOOKUP(C61,Lists!$A$5:$C$8,2,FALSE()),""))</f>
        <v/>
      </c>
      <c r="O61" s="49" t="str">
        <f aca="false">IF(C61="","",IFERROR(VLOOKUP(C61,Lists!$A$5:$C$8,3,FALSE()),""))</f>
        <v/>
      </c>
      <c r="P61" s="50"/>
      <c r="Q61" s="50"/>
      <c r="R61" s="51" t="str">
        <f aca="false">IF(OR(I61="",L61="",M61="",N61="",O61=""),"",IF(F61="Long",(L61-I61)/N61*O61*M61,IF(F61="Short",(I61-L61)/N61*O61*M61,"")))</f>
        <v/>
      </c>
      <c r="S61" s="51" t="str">
        <f aca="false">IF(R61="","",R61-P61-Q61)</f>
        <v/>
      </c>
      <c r="T61" s="51" t="str">
        <f aca="false">IF(OR(I61="",J61="",M61="",N61="",O61=""),"",ABS(I61-J61)/N61*O61*M61+P61+Q61)</f>
        <v/>
      </c>
      <c r="U61" s="52" t="str">
        <f aca="false">IF(OR(S61="",T61="",T61=0),"",S61/T61)</f>
        <v/>
      </c>
      <c r="V61" s="50"/>
      <c r="W61" s="50"/>
      <c r="X61" s="44"/>
      <c r="Y61" s="44"/>
      <c r="Z61" s="44"/>
      <c r="AA61" s="44"/>
      <c r="AB61" s="52" t="str">
        <f aca="false">IF(OR(B61="",X61&lt;&gt;"Yes"),"",SUMIFS($U$6:U61,$X$6:X61,"Yes"))</f>
        <v/>
      </c>
      <c r="AC61" s="52" t="str">
        <f aca="false">IF(AB61="","",MAX($AB$6:AB61))</f>
        <v/>
      </c>
      <c r="AD61" s="52" t="str">
        <f aca="false">IF(AB61="","",AB61-AC61)</f>
        <v/>
      </c>
    </row>
    <row r="62" customFormat="false" ht="15" hidden="false" customHeight="false" outlineLevel="0" collapsed="false">
      <c r="A62" s="44"/>
      <c r="B62" s="45"/>
      <c r="C62" s="44"/>
      <c r="D62" s="44"/>
      <c r="E62" s="44"/>
      <c r="F62" s="44"/>
      <c r="G62" s="44"/>
      <c r="H62" s="44"/>
      <c r="I62" s="47"/>
      <c r="J62" s="47"/>
      <c r="K62" s="47"/>
      <c r="L62" s="47"/>
      <c r="M62" s="48"/>
      <c r="N62" s="49" t="str">
        <f aca="false">IF(C62="","",IFERROR(VLOOKUP(C62,Lists!$A$5:$C$8,2,FALSE()),""))</f>
        <v/>
      </c>
      <c r="O62" s="49" t="str">
        <f aca="false">IF(C62="","",IFERROR(VLOOKUP(C62,Lists!$A$5:$C$8,3,FALSE()),""))</f>
        <v/>
      </c>
      <c r="P62" s="50"/>
      <c r="Q62" s="50"/>
      <c r="R62" s="51" t="str">
        <f aca="false">IF(OR(I62="",L62="",M62="",N62="",O62=""),"",IF(F62="Long",(L62-I62)/N62*O62*M62,IF(F62="Short",(I62-L62)/N62*O62*M62,"")))</f>
        <v/>
      </c>
      <c r="S62" s="51" t="str">
        <f aca="false">IF(R62="","",R62-P62-Q62)</f>
        <v/>
      </c>
      <c r="T62" s="51" t="str">
        <f aca="false">IF(OR(I62="",J62="",M62="",N62="",O62=""),"",ABS(I62-J62)/N62*O62*M62+P62+Q62)</f>
        <v/>
      </c>
      <c r="U62" s="52" t="str">
        <f aca="false">IF(OR(S62="",T62="",T62=0),"",S62/T62)</f>
        <v/>
      </c>
      <c r="V62" s="50"/>
      <c r="W62" s="50"/>
      <c r="X62" s="44"/>
      <c r="Y62" s="44"/>
      <c r="Z62" s="44"/>
      <c r="AA62" s="44"/>
      <c r="AB62" s="52" t="str">
        <f aca="false">IF(OR(B62="",X62&lt;&gt;"Yes"),"",SUMIFS($U$6:U62,$X$6:X62,"Yes"))</f>
        <v/>
      </c>
      <c r="AC62" s="52" t="str">
        <f aca="false">IF(AB62="","",MAX($AB$6:AB62))</f>
        <v/>
      </c>
      <c r="AD62" s="52" t="str">
        <f aca="false">IF(AB62="","",AB62-AC62)</f>
        <v/>
      </c>
    </row>
    <row r="63" customFormat="false" ht="15" hidden="false" customHeight="false" outlineLevel="0" collapsed="false">
      <c r="A63" s="44"/>
      <c r="B63" s="45"/>
      <c r="C63" s="44"/>
      <c r="D63" s="44"/>
      <c r="E63" s="44"/>
      <c r="F63" s="44"/>
      <c r="G63" s="44"/>
      <c r="H63" s="44"/>
      <c r="I63" s="47"/>
      <c r="J63" s="47"/>
      <c r="K63" s="47"/>
      <c r="L63" s="47"/>
      <c r="M63" s="48"/>
      <c r="N63" s="49" t="str">
        <f aca="false">IF(C63="","",IFERROR(VLOOKUP(C63,Lists!$A$5:$C$8,2,FALSE()),""))</f>
        <v/>
      </c>
      <c r="O63" s="49" t="str">
        <f aca="false">IF(C63="","",IFERROR(VLOOKUP(C63,Lists!$A$5:$C$8,3,FALSE()),""))</f>
        <v/>
      </c>
      <c r="P63" s="50"/>
      <c r="Q63" s="50"/>
      <c r="R63" s="51" t="str">
        <f aca="false">IF(OR(I63="",L63="",M63="",N63="",O63=""),"",IF(F63="Long",(L63-I63)/N63*O63*M63,IF(F63="Short",(I63-L63)/N63*O63*M63,"")))</f>
        <v/>
      </c>
      <c r="S63" s="51" t="str">
        <f aca="false">IF(R63="","",R63-P63-Q63)</f>
        <v/>
      </c>
      <c r="T63" s="51" t="str">
        <f aca="false">IF(OR(I63="",J63="",M63="",N63="",O63=""),"",ABS(I63-J63)/N63*O63*M63+P63+Q63)</f>
        <v/>
      </c>
      <c r="U63" s="52" t="str">
        <f aca="false">IF(OR(S63="",T63="",T63=0),"",S63/T63)</f>
        <v/>
      </c>
      <c r="V63" s="50"/>
      <c r="W63" s="50"/>
      <c r="X63" s="44"/>
      <c r="Y63" s="44"/>
      <c r="Z63" s="44"/>
      <c r="AA63" s="44"/>
      <c r="AB63" s="52" t="str">
        <f aca="false">IF(OR(B63="",X63&lt;&gt;"Yes"),"",SUMIFS($U$6:U63,$X$6:X63,"Yes"))</f>
        <v/>
      </c>
      <c r="AC63" s="52" t="str">
        <f aca="false">IF(AB63="","",MAX($AB$6:AB63))</f>
        <v/>
      </c>
      <c r="AD63" s="52" t="str">
        <f aca="false">IF(AB63="","",AB63-AC63)</f>
        <v/>
      </c>
    </row>
    <row r="64" customFormat="false" ht="15" hidden="false" customHeight="false" outlineLevel="0" collapsed="false">
      <c r="A64" s="44"/>
      <c r="B64" s="45"/>
      <c r="C64" s="44"/>
      <c r="D64" s="44"/>
      <c r="E64" s="44"/>
      <c r="F64" s="44"/>
      <c r="G64" s="44"/>
      <c r="H64" s="44"/>
      <c r="I64" s="47"/>
      <c r="J64" s="47"/>
      <c r="K64" s="47"/>
      <c r="L64" s="47"/>
      <c r="M64" s="48"/>
      <c r="N64" s="49" t="str">
        <f aca="false">IF(C64="","",IFERROR(VLOOKUP(C64,Lists!$A$5:$C$8,2,FALSE()),""))</f>
        <v/>
      </c>
      <c r="O64" s="49" t="str">
        <f aca="false">IF(C64="","",IFERROR(VLOOKUP(C64,Lists!$A$5:$C$8,3,FALSE()),""))</f>
        <v/>
      </c>
      <c r="P64" s="50"/>
      <c r="Q64" s="50"/>
      <c r="R64" s="51" t="str">
        <f aca="false">IF(OR(I64="",L64="",M64="",N64="",O64=""),"",IF(F64="Long",(L64-I64)/N64*O64*M64,IF(F64="Short",(I64-L64)/N64*O64*M64,"")))</f>
        <v/>
      </c>
      <c r="S64" s="51" t="str">
        <f aca="false">IF(R64="","",R64-P64-Q64)</f>
        <v/>
      </c>
      <c r="T64" s="51" t="str">
        <f aca="false">IF(OR(I64="",J64="",M64="",N64="",O64=""),"",ABS(I64-J64)/N64*O64*M64+P64+Q64)</f>
        <v/>
      </c>
      <c r="U64" s="52" t="str">
        <f aca="false">IF(OR(S64="",T64="",T64=0),"",S64/T64)</f>
        <v/>
      </c>
      <c r="V64" s="50"/>
      <c r="W64" s="50"/>
      <c r="X64" s="44"/>
      <c r="Y64" s="44"/>
      <c r="Z64" s="44"/>
      <c r="AA64" s="44"/>
      <c r="AB64" s="52" t="str">
        <f aca="false">IF(OR(B64="",X64&lt;&gt;"Yes"),"",SUMIFS($U$6:U64,$X$6:X64,"Yes"))</f>
        <v/>
      </c>
      <c r="AC64" s="52" t="str">
        <f aca="false">IF(AB64="","",MAX($AB$6:AB64))</f>
        <v/>
      </c>
      <c r="AD64" s="52" t="str">
        <f aca="false">IF(AB64="","",AB64-AC64)</f>
        <v/>
      </c>
    </row>
    <row r="65" customFormat="false" ht="15" hidden="false" customHeight="false" outlineLevel="0" collapsed="false">
      <c r="A65" s="44"/>
      <c r="B65" s="45"/>
      <c r="C65" s="44"/>
      <c r="D65" s="44"/>
      <c r="E65" s="44"/>
      <c r="F65" s="44"/>
      <c r="G65" s="44"/>
      <c r="H65" s="44"/>
      <c r="I65" s="47"/>
      <c r="J65" s="47"/>
      <c r="K65" s="47"/>
      <c r="L65" s="47"/>
      <c r="M65" s="48"/>
      <c r="N65" s="49" t="str">
        <f aca="false">IF(C65="","",IFERROR(VLOOKUP(C65,Lists!$A$5:$C$8,2,FALSE()),""))</f>
        <v/>
      </c>
      <c r="O65" s="49" t="str">
        <f aca="false">IF(C65="","",IFERROR(VLOOKUP(C65,Lists!$A$5:$C$8,3,FALSE()),""))</f>
        <v/>
      </c>
      <c r="P65" s="50"/>
      <c r="Q65" s="50"/>
      <c r="R65" s="51" t="str">
        <f aca="false">IF(OR(I65="",L65="",M65="",N65="",O65=""),"",IF(F65="Long",(L65-I65)/N65*O65*M65,IF(F65="Short",(I65-L65)/N65*O65*M65,"")))</f>
        <v/>
      </c>
      <c r="S65" s="51" t="str">
        <f aca="false">IF(R65="","",R65-P65-Q65)</f>
        <v/>
      </c>
      <c r="T65" s="51" t="str">
        <f aca="false">IF(OR(I65="",J65="",M65="",N65="",O65=""),"",ABS(I65-J65)/N65*O65*M65+P65+Q65)</f>
        <v/>
      </c>
      <c r="U65" s="52" t="str">
        <f aca="false">IF(OR(S65="",T65="",T65=0),"",S65/T65)</f>
        <v/>
      </c>
      <c r="V65" s="50"/>
      <c r="W65" s="50"/>
      <c r="X65" s="44"/>
      <c r="Y65" s="44"/>
      <c r="Z65" s="44"/>
      <c r="AA65" s="44"/>
      <c r="AB65" s="52" t="str">
        <f aca="false">IF(OR(B65="",X65&lt;&gt;"Yes"),"",SUMIFS($U$6:U65,$X$6:X65,"Yes"))</f>
        <v/>
      </c>
      <c r="AC65" s="52" t="str">
        <f aca="false">IF(AB65="","",MAX($AB$6:AB65))</f>
        <v/>
      </c>
      <c r="AD65" s="52" t="str">
        <f aca="false">IF(AB65="","",AB65-AC65)</f>
        <v/>
      </c>
    </row>
    <row r="66" customFormat="false" ht="15" hidden="false" customHeight="false" outlineLevel="0" collapsed="false">
      <c r="A66" s="44"/>
      <c r="B66" s="45"/>
      <c r="C66" s="44"/>
      <c r="D66" s="44"/>
      <c r="E66" s="44"/>
      <c r="F66" s="44"/>
      <c r="G66" s="44"/>
      <c r="H66" s="44"/>
      <c r="I66" s="47"/>
      <c r="J66" s="47"/>
      <c r="K66" s="47"/>
      <c r="L66" s="47"/>
      <c r="M66" s="48"/>
      <c r="N66" s="49" t="str">
        <f aca="false">IF(C66="","",IFERROR(VLOOKUP(C66,Lists!$A$5:$C$8,2,FALSE()),""))</f>
        <v/>
      </c>
      <c r="O66" s="49" t="str">
        <f aca="false">IF(C66="","",IFERROR(VLOOKUP(C66,Lists!$A$5:$C$8,3,FALSE()),""))</f>
        <v/>
      </c>
      <c r="P66" s="50"/>
      <c r="Q66" s="50"/>
      <c r="R66" s="51" t="str">
        <f aca="false">IF(OR(I66="",L66="",M66="",N66="",O66=""),"",IF(F66="Long",(L66-I66)/N66*O66*M66,IF(F66="Short",(I66-L66)/N66*O66*M66,"")))</f>
        <v/>
      </c>
      <c r="S66" s="51" t="str">
        <f aca="false">IF(R66="","",R66-P66-Q66)</f>
        <v/>
      </c>
      <c r="T66" s="51" t="str">
        <f aca="false">IF(OR(I66="",J66="",M66="",N66="",O66=""),"",ABS(I66-J66)/N66*O66*M66+P66+Q66)</f>
        <v/>
      </c>
      <c r="U66" s="52" t="str">
        <f aca="false">IF(OR(S66="",T66="",T66=0),"",S66/T66)</f>
        <v/>
      </c>
      <c r="V66" s="50"/>
      <c r="W66" s="50"/>
      <c r="X66" s="44"/>
      <c r="Y66" s="44"/>
      <c r="Z66" s="44"/>
      <c r="AA66" s="44"/>
      <c r="AB66" s="52" t="str">
        <f aca="false">IF(OR(B66="",X66&lt;&gt;"Yes"),"",SUMIFS($U$6:U66,$X$6:X66,"Yes"))</f>
        <v/>
      </c>
      <c r="AC66" s="52" t="str">
        <f aca="false">IF(AB66="","",MAX($AB$6:AB66))</f>
        <v/>
      </c>
      <c r="AD66" s="52" t="str">
        <f aca="false">IF(AB66="","",AB66-AC66)</f>
        <v/>
      </c>
    </row>
    <row r="67" customFormat="false" ht="15" hidden="false" customHeight="false" outlineLevel="0" collapsed="false">
      <c r="A67" s="44"/>
      <c r="B67" s="45"/>
      <c r="C67" s="44"/>
      <c r="D67" s="44"/>
      <c r="E67" s="44"/>
      <c r="F67" s="44"/>
      <c r="G67" s="44"/>
      <c r="H67" s="44"/>
      <c r="I67" s="47"/>
      <c r="J67" s="47"/>
      <c r="K67" s="47"/>
      <c r="L67" s="47"/>
      <c r="M67" s="48"/>
      <c r="N67" s="49" t="str">
        <f aca="false">IF(C67="","",IFERROR(VLOOKUP(C67,Lists!$A$5:$C$8,2,FALSE()),""))</f>
        <v/>
      </c>
      <c r="O67" s="49" t="str">
        <f aca="false">IF(C67="","",IFERROR(VLOOKUP(C67,Lists!$A$5:$C$8,3,FALSE()),""))</f>
        <v/>
      </c>
      <c r="P67" s="50"/>
      <c r="Q67" s="50"/>
      <c r="R67" s="51" t="str">
        <f aca="false">IF(OR(I67="",L67="",M67="",N67="",O67=""),"",IF(F67="Long",(L67-I67)/N67*O67*M67,IF(F67="Short",(I67-L67)/N67*O67*M67,"")))</f>
        <v/>
      </c>
      <c r="S67" s="51" t="str">
        <f aca="false">IF(R67="","",R67-P67-Q67)</f>
        <v/>
      </c>
      <c r="T67" s="51" t="str">
        <f aca="false">IF(OR(I67="",J67="",M67="",N67="",O67=""),"",ABS(I67-J67)/N67*O67*M67+P67+Q67)</f>
        <v/>
      </c>
      <c r="U67" s="52" t="str">
        <f aca="false">IF(OR(S67="",T67="",T67=0),"",S67/T67)</f>
        <v/>
      </c>
      <c r="V67" s="50"/>
      <c r="W67" s="50"/>
      <c r="X67" s="44"/>
      <c r="Y67" s="44"/>
      <c r="Z67" s="44"/>
      <c r="AA67" s="44"/>
      <c r="AB67" s="52" t="str">
        <f aca="false">IF(OR(B67="",X67&lt;&gt;"Yes"),"",SUMIFS($U$6:U67,$X$6:X67,"Yes"))</f>
        <v/>
      </c>
      <c r="AC67" s="52" t="str">
        <f aca="false">IF(AB67="","",MAX($AB$6:AB67))</f>
        <v/>
      </c>
      <c r="AD67" s="52" t="str">
        <f aca="false">IF(AB67="","",AB67-AC67)</f>
        <v/>
      </c>
    </row>
    <row r="68" customFormat="false" ht="15" hidden="false" customHeight="false" outlineLevel="0" collapsed="false">
      <c r="A68" s="44"/>
      <c r="B68" s="45"/>
      <c r="C68" s="44"/>
      <c r="D68" s="44"/>
      <c r="E68" s="44"/>
      <c r="F68" s="44"/>
      <c r="G68" s="44"/>
      <c r="H68" s="44"/>
      <c r="I68" s="47"/>
      <c r="J68" s="47"/>
      <c r="K68" s="47"/>
      <c r="L68" s="47"/>
      <c r="M68" s="48"/>
      <c r="N68" s="49" t="str">
        <f aca="false">IF(C68="","",IFERROR(VLOOKUP(C68,Lists!$A$5:$C$8,2,FALSE()),""))</f>
        <v/>
      </c>
      <c r="O68" s="49" t="str">
        <f aca="false">IF(C68="","",IFERROR(VLOOKUP(C68,Lists!$A$5:$C$8,3,FALSE()),""))</f>
        <v/>
      </c>
      <c r="P68" s="50"/>
      <c r="Q68" s="50"/>
      <c r="R68" s="51" t="str">
        <f aca="false">IF(OR(I68="",L68="",M68="",N68="",O68=""),"",IF(F68="Long",(L68-I68)/N68*O68*M68,IF(F68="Short",(I68-L68)/N68*O68*M68,"")))</f>
        <v/>
      </c>
      <c r="S68" s="51" t="str">
        <f aca="false">IF(R68="","",R68-P68-Q68)</f>
        <v/>
      </c>
      <c r="T68" s="51" t="str">
        <f aca="false">IF(OR(I68="",J68="",M68="",N68="",O68=""),"",ABS(I68-J68)/N68*O68*M68+P68+Q68)</f>
        <v/>
      </c>
      <c r="U68" s="52" t="str">
        <f aca="false">IF(OR(S68="",T68="",T68=0),"",S68/T68)</f>
        <v/>
      </c>
      <c r="V68" s="50"/>
      <c r="W68" s="50"/>
      <c r="X68" s="44"/>
      <c r="Y68" s="44"/>
      <c r="Z68" s="44"/>
      <c r="AA68" s="44"/>
      <c r="AB68" s="52" t="str">
        <f aca="false">IF(OR(B68="",X68&lt;&gt;"Yes"),"",SUMIFS($U$6:U68,$X$6:X68,"Yes"))</f>
        <v/>
      </c>
      <c r="AC68" s="52" t="str">
        <f aca="false">IF(AB68="","",MAX($AB$6:AB68))</f>
        <v/>
      </c>
      <c r="AD68" s="52" t="str">
        <f aca="false">IF(AB68="","",AB68-AC68)</f>
        <v/>
      </c>
    </row>
    <row r="69" customFormat="false" ht="15" hidden="false" customHeight="false" outlineLevel="0" collapsed="false">
      <c r="A69" s="44"/>
      <c r="B69" s="45"/>
      <c r="C69" s="44"/>
      <c r="D69" s="44"/>
      <c r="E69" s="44"/>
      <c r="F69" s="44"/>
      <c r="G69" s="44"/>
      <c r="H69" s="44"/>
      <c r="I69" s="47"/>
      <c r="J69" s="47"/>
      <c r="K69" s="47"/>
      <c r="L69" s="47"/>
      <c r="M69" s="48"/>
      <c r="N69" s="49" t="str">
        <f aca="false">IF(C69="","",IFERROR(VLOOKUP(C69,Lists!$A$5:$C$8,2,FALSE()),""))</f>
        <v/>
      </c>
      <c r="O69" s="49" t="str">
        <f aca="false">IF(C69="","",IFERROR(VLOOKUP(C69,Lists!$A$5:$C$8,3,FALSE()),""))</f>
        <v/>
      </c>
      <c r="P69" s="50"/>
      <c r="Q69" s="50"/>
      <c r="R69" s="51" t="str">
        <f aca="false">IF(OR(I69="",L69="",M69="",N69="",O69=""),"",IF(F69="Long",(L69-I69)/N69*O69*M69,IF(F69="Short",(I69-L69)/N69*O69*M69,"")))</f>
        <v/>
      </c>
      <c r="S69" s="51" t="str">
        <f aca="false">IF(R69="","",R69-P69-Q69)</f>
        <v/>
      </c>
      <c r="T69" s="51" t="str">
        <f aca="false">IF(OR(I69="",J69="",M69="",N69="",O69=""),"",ABS(I69-J69)/N69*O69*M69+P69+Q69)</f>
        <v/>
      </c>
      <c r="U69" s="52" t="str">
        <f aca="false">IF(OR(S69="",T69="",T69=0),"",S69/T69)</f>
        <v/>
      </c>
      <c r="V69" s="50"/>
      <c r="W69" s="50"/>
      <c r="X69" s="44"/>
      <c r="Y69" s="44"/>
      <c r="Z69" s="44"/>
      <c r="AA69" s="44"/>
      <c r="AB69" s="52" t="str">
        <f aca="false">IF(OR(B69="",X69&lt;&gt;"Yes"),"",SUMIFS($U$6:U69,$X$6:X69,"Yes"))</f>
        <v/>
      </c>
      <c r="AC69" s="52" t="str">
        <f aca="false">IF(AB69="","",MAX($AB$6:AB69))</f>
        <v/>
      </c>
      <c r="AD69" s="52" t="str">
        <f aca="false">IF(AB69="","",AB69-AC69)</f>
        <v/>
      </c>
    </row>
    <row r="70" customFormat="false" ht="15" hidden="false" customHeight="false" outlineLevel="0" collapsed="false">
      <c r="A70" s="44"/>
      <c r="B70" s="45"/>
      <c r="C70" s="44"/>
      <c r="D70" s="44"/>
      <c r="E70" s="44"/>
      <c r="F70" s="44"/>
      <c r="G70" s="44"/>
      <c r="H70" s="44"/>
      <c r="I70" s="47"/>
      <c r="J70" s="47"/>
      <c r="K70" s="47"/>
      <c r="L70" s="47"/>
      <c r="M70" s="48"/>
      <c r="N70" s="49" t="str">
        <f aca="false">IF(C70="","",IFERROR(VLOOKUP(C70,Lists!$A$5:$C$8,2,FALSE()),""))</f>
        <v/>
      </c>
      <c r="O70" s="49" t="str">
        <f aca="false">IF(C70="","",IFERROR(VLOOKUP(C70,Lists!$A$5:$C$8,3,FALSE()),""))</f>
        <v/>
      </c>
      <c r="P70" s="50"/>
      <c r="Q70" s="50"/>
      <c r="R70" s="51" t="str">
        <f aca="false">IF(OR(I70="",L70="",M70="",N70="",O70=""),"",IF(F70="Long",(L70-I70)/N70*O70*M70,IF(F70="Short",(I70-L70)/N70*O70*M70,"")))</f>
        <v/>
      </c>
      <c r="S70" s="51" t="str">
        <f aca="false">IF(R70="","",R70-P70-Q70)</f>
        <v/>
      </c>
      <c r="T70" s="51" t="str">
        <f aca="false">IF(OR(I70="",J70="",M70="",N70="",O70=""),"",ABS(I70-J70)/N70*O70*M70+P70+Q70)</f>
        <v/>
      </c>
      <c r="U70" s="52" t="str">
        <f aca="false">IF(OR(S70="",T70="",T70=0),"",S70/T70)</f>
        <v/>
      </c>
      <c r="V70" s="50"/>
      <c r="W70" s="50"/>
      <c r="X70" s="44"/>
      <c r="Y70" s="44"/>
      <c r="Z70" s="44"/>
      <c r="AA70" s="44"/>
      <c r="AB70" s="52" t="str">
        <f aca="false">IF(OR(B70="",X70&lt;&gt;"Yes"),"",SUMIFS($U$6:U70,$X$6:X70,"Yes"))</f>
        <v/>
      </c>
      <c r="AC70" s="52" t="str">
        <f aca="false">IF(AB70="","",MAX($AB$6:AB70))</f>
        <v/>
      </c>
      <c r="AD70" s="52" t="str">
        <f aca="false">IF(AB70="","",AB70-AC70)</f>
        <v/>
      </c>
    </row>
    <row r="71" customFormat="false" ht="15" hidden="false" customHeight="false" outlineLevel="0" collapsed="false">
      <c r="A71" s="44"/>
      <c r="B71" s="45"/>
      <c r="C71" s="44"/>
      <c r="D71" s="44"/>
      <c r="E71" s="44"/>
      <c r="F71" s="44"/>
      <c r="G71" s="44"/>
      <c r="H71" s="44"/>
      <c r="I71" s="47"/>
      <c r="J71" s="47"/>
      <c r="K71" s="47"/>
      <c r="L71" s="47"/>
      <c r="M71" s="48"/>
      <c r="N71" s="49" t="str">
        <f aca="false">IF(C71="","",IFERROR(VLOOKUP(C71,Lists!$A$5:$C$8,2,FALSE()),""))</f>
        <v/>
      </c>
      <c r="O71" s="49" t="str">
        <f aca="false">IF(C71="","",IFERROR(VLOOKUP(C71,Lists!$A$5:$C$8,3,FALSE()),""))</f>
        <v/>
      </c>
      <c r="P71" s="50"/>
      <c r="Q71" s="50"/>
      <c r="R71" s="51" t="str">
        <f aca="false">IF(OR(I71="",L71="",M71="",N71="",O71=""),"",IF(F71="Long",(L71-I71)/N71*O71*M71,IF(F71="Short",(I71-L71)/N71*O71*M71,"")))</f>
        <v/>
      </c>
      <c r="S71" s="51" t="str">
        <f aca="false">IF(R71="","",R71-P71-Q71)</f>
        <v/>
      </c>
      <c r="T71" s="51" t="str">
        <f aca="false">IF(OR(I71="",J71="",M71="",N71="",O71=""),"",ABS(I71-J71)/N71*O71*M71+P71+Q71)</f>
        <v/>
      </c>
      <c r="U71" s="52" t="str">
        <f aca="false">IF(OR(S71="",T71="",T71=0),"",S71/T71)</f>
        <v/>
      </c>
      <c r="V71" s="50"/>
      <c r="W71" s="50"/>
      <c r="X71" s="44"/>
      <c r="Y71" s="44"/>
      <c r="Z71" s="44"/>
      <c r="AA71" s="44"/>
      <c r="AB71" s="52" t="str">
        <f aca="false">IF(OR(B71="",X71&lt;&gt;"Yes"),"",SUMIFS($U$6:U71,$X$6:X71,"Yes"))</f>
        <v/>
      </c>
      <c r="AC71" s="52" t="str">
        <f aca="false">IF(AB71="","",MAX($AB$6:AB71))</f>
        <v/>
      </c>
      <c r="AD71" s="52" t="str">
        <f aca="false">IF(AB71="","",AB71-AC71)</f>
        <v/>
      </c>
    </row>
    <row r="72" customFormat="false" ht="15" hidden="false" customHeight="false" outlineLevel="0" collapsed="false">
      <c r="A72" s="44"/>
      <c r="B72" s="45"/>
      <c r="C72" s="44"/>
      <c r="D72" s="44"/>
      <c r="E72" s="44"/>
      <c r="F72" s="44"/>
      <c r="G72" s="44"/>
      <c r="H72" s="44"/>
      <c r="I72" s="47"/>
      <c r="J72" s="47"/>
      <c r="K72" s="47"/>
      <c r="L72" s="47"/>
      <c r="M72" s="48"/>
      <c r="N72" s="49" t="str">
        <f aca="false">IF(C72="","",IFERROR(VLOOKUP(C72,Lists!$A$5:$C$8,2,FALSE()),""))</f>
        <v/>
      </c>
      <c r="O72" s="49" t="str">
        <f aca="false">IF(C72="","",IFERROR(VLOOKUP(C72,Lists!$A$5:$C$8,3,FALSE()),""))</f>
        <v/>
      </c>
      <c r="P72" s="50"/>
      <c r="Q72" s="50"/>
      <c r="R72" s="51" t="str">
        <f aca="false">IF(OR(I72="",L72="",M72="",N72="",O72=""),"",IF(F72="Long",(L72-I72)/N72*O72*M72,IF(F72="Short",(I72-L72)/N72*O72*M72,"")))</f>
        <v/>
      </c>
      <c r="S72" s="51" t="str">
        <f aca="false">IF(R72="","",R72-P72-Q72)</f>
        <v/>
      </c>
      <c r="T72" s="51" t="str">
        <f aca="false">IF(OR(I72="",J72="",M72="",N72="",O72=""),"",ABS(I72-J72)/N72*O72*M72+P72+Q72)</f>
        <v/>
      </c>
      <c r="U72" s="52" t="str">
        <f aca="false">IF(OR(S72="",T72="",T72=0),"",S72/T72)</f>
        <v/>
      </c>
      <c r="V72" s="50"/>
      <c r="W72" s="50"/>
      <c r="X72" s="44"/>
      <c r="Y72" s="44"/>
      <c r="Z72" s="44"/>
      <c r="AA72" s="44"/>
      <c r="AB72" s="52" t="str">
        <f aca="false">IF(OR(B72="",X72&lt;&gt;"Yes"),"",SUMIFS($U$6:U72,$X$6:X72,"Yes"))</f>
        <v/>
      </c>
      <c r="AC72" s="52" t="str">
        <f aca="false">IF(AB72="","",MAX($AB$6:AB72))</f>
        <v/>
      </c>
      <c r="AD72" s="52" t="str">
        <f aca="false">IF(AB72="","",AB72-AC72)</f>
        <v/>
      </c>
    </row>
    <row r="73" customFormat="false" ht="15" hidden="false" customHeight="false" outlineLevel="0" collapsed="false">
      <c r="A73" s="44"/>
      <c r="B73" s="45"/>
      <c r="C73" s="44"/>
      <c r="D73" s="44"/>
      <c r="E73" s="44"/>
      <c r="F73" s="44"/>
      <c r="G73" s="44"/>
      <c r="H73" s="44"/>
      <c r="I73" s="47"/>
      <c r="J73" s="47"/>
      <c r="K73" s="47"/>
      <c r="L73" s="47"/>
      <c r="M73" s="48"/>
      <c r="N73" s="49" t="str">
        <f aca="false">IF(C73="","",IFERROR(VLOOKUP(C73,Lists!$A$5:$C$8,2,FALSE()),""))</f>
        <v/>
      </c>
      <c r="O73" s="49" t="str">
        <f aca="false">IF(C73="","",IFERROR(VLOOKUP(C73,Lists!$A$5:$C$8,3,FALSE()),""))</f>
        <v/>
      </c>
      <c r="P73" s="50"/>
      <c r="Q73" s="50"/>
      <c r="R73" s="51" t="str">
        <f aca="false">IF(OR(I73="",L73="",M73="",N73="",O73=""),"",IF(F73="Long",(L73-I73)/N73*O73*M73,IF(F73="Short",(I73-L73)/N73*O73*M73,"")))</f>
        <v/>
      </c>
      <c r="S73" s="51" t="str">
        <f aca="false">IF(R73="","",R73-P73-Q73)</f>
        <v/>
      </c>
      <c r="T73" s="51" t="str">
        <f aca="false">IF(OR(I73="",J73="",M73="",N73="",O73=""),"",ABS(I73-J73)/N73*O73*M73+P73+Q73)</f>
        <v/>
      </c>
      <c r="U73" s="52" t="str">
        <f aca="false">IF(OR(S73="",T73="",T73=0),"",S73/T73)</f>
        <v/>
      </c>
      <c r="V73" s="50"/>
      <c r="W73" s="50"/>
      <c r="X73" s="44"/>
      <c r="Y73" s="44"/>
      <c r="Z73" s="44"/>
      <c r="AA73" s="44"/>
      <c r="AB73" s="52" t="str">
        <f aca="false">IF(OR(B73="",X73&lt;&gt;"Yes"),"",SUMIFS($U$6:U73,$X$6:X73,"Yes"))</f>
        <v/>
      </c>
      <c r="AC73" s="52" t="str">
        <f aca="false">IF(AB73="","",MAX($AB$6:AB73))</f>
        <v/>
      </c>
      <c r="AD73" s="52" t="str">
        <f aca="false">IF(AB73="","",AB73-AC73)</f>
        <v/>
      </c>
    </row>
    <row r="74" customFormat="false" ht="15" hidden="false" customHeight="false" outlineLevel="0" collapsed="false">
      <c r="A74" s="44"/>
      <c r="B74" s="45"/>
      <c r="C74" s="44"/>
      <c r="D74" s="44"/>
      <c r="E74" s="44"/>
      <c r="F74" s="44"/>
      <c r="G74" s="44"/>
      <c r="H74" s="44"/>
      <c r="I74" s="47"/>
      <c r="J74" s="47"/>
      <c r="K74" s="47"/>
      <c r="L74" s="47"/>
      <c r="M74" s="48"/>
      <c r="N74" s="49" t="str">
        <f aca="false">IF(C74="","",IFERROR(VLOOKUP(C74,Lists!$A$5:$C$8,2,FALSE()),""))</f>
        <v/>
      </c>
      <c r="O74" s="49" t="str">
        <f aca="false">IF(C74="","",IFERROR(VLOOKUP(C74,Lists!$A$5:$C$8,3,FALSE()),""))</f>
        <v/>
      </c>
      <c r="P74" s="50"/>
      <c r="Q74" s="50"/>
      <c r="R74" s="51" t="str">
        <f aca="false">IF(OR(I74="",L74="",M74="",N74="",O74=""),"",IF(F74="Long",(L74-I74)/N74*O74*M74,IF(F74="Short",(I74-L74)/N74*O74*M74,"")))</f>
        <v/>
      </c>
      <c r="S74" s="51" t="str">
        <f aca="false">IF(R74="","",R74-P74-Q74)</f>
        <v/>
      </c>
      <c r="T74" s="51" t="str">
        <f aca="false">IF(OR(I74="",J74="",M74="",N74="",O74=""),"",ABS(I74-J74)/N74*O74*M74+P74+Q74)</f>
        <v/>
      </c>
      <c r="U74" s="52" t="str">
        <f aca="false">IF(OR(S74="",T74="",T74=0),"",S74/T74)</f>
        <v/>
      </c>
      <c r="V74" s="50"/>
      <c r="W74" s="50"/>
      <c r="X74" s="44"/>
      <c r="Y74" s="44"/>
      <c r="Z74" s="44"/>
      <c r="AA74" s="44"/>
      <c r="AB74" s="52" t="str">
        <f aca="false">IF(OR(B74="",X74&lt;&gt;"Yes"),"",SUMIFS($U$6:U74,$X$6:X74,"Yes"))</f>
        <v/>
      </c>
      <c r="AC74" s="52" t="str">
        <f aca="false">IF(AB74="","",MAX($AB$6:AB74))</f>
        <v/>
      </c>
      <c r="AD74" s="52" t="str">
        <f aca="false">IF(AB74="","",AB74-AC74)</f>
        <v/>
      </c>
    </row>
    <row r="75" customFormat="false" ht="15" hidden="false" customHeight="false" outlineLevel="0" collapsed="false">
      <c r="A75" s="44"/>
      <c r="B75" s="45"/>
      <c r="C75" s="44"/>
      <c r="D75" s="44"/>
      <c r="E75" s="44"/>
      <c r="F75" s="44"/>
      <c r="G75" s="44"/>
      <c r="H75" s="44"/>
      <c r="I75" s="47"/>
      <c r="J75" s="47"/>
      <c r="K75" s="47"/>
      <c r="L75" s="47"/>
      <c r="M75" s="48"/>
      <c r="N75" s="49" t="str">
        <f aca="false">IF(C75="","",IFERROR(VLOOKUP(C75,Lists!$A$5:$C$8,2,FALSE()),""))</f>
        <v/>
      </c>
      <c r="O75" s="49" t="str">
        <f aca="false">IF(C75="","",IFERROR(VLOOKUP(C75,Lists!$A$5:$C$8,3,FALSE()),""))</f>
        <v/>
      </c>
      <c r="P75" s="50"/>
      <c r="Q75" s="50"/>
      <c r="R75" s="51" t="str">
        <f aca="false">IF(OR(I75="",L75="",M75="",N75="",O75=""),"",IF(F75="Long",(L75-I75)/N75*O75*M75,IF(F75="Short",(I75-L75)/N75*O75*M75,"")))</f>
        <v/>
      </c>
      <c r="S75" s="51" t="str">
        <f aca="false">IF(R75="","",R75-P75-Q75)</f>
        <v/>
      </c>
      <c r="T75" s="51" t="str">
        <f aca="false">IF(OR(I75="",J75="",M75="",N75="",O75=""),"",ABS(I75-J75)/N75*O75*M75+P75+Q75)</f>
        <v/>
      </c>
      <c r="U75" s="52" t="str">
        <f aca="false">IF(OR(S75="",T75="",T75=0),"",S75/T75)</f>
        <v/>
      </c>
      <c r="V75" s="50"/>
      <c r="W75" s="50"/>
      <c r="X75" s="44"/>
      <c r="Y75" s="44"/>
      <c r="Z75" s="44"/>
      <c r="AA75" s="44"/>
      <c r="AB75" s="52" t="str">
        <f aca="false">IF(OR(B75="",X75&lt;&gt;"Yes"),"",SUMIFS($U$6:U75,$X$6:X75,"Yes"))</f>
        <v/>
      </c>
      <c r="AC75" s="52" t="str">
        <f aca="false">IF(AB75="","",MAX($AB$6:AB75))</f>
        <v/>
      </c>
      <c r="AD75" s="52" t="str">
        <f aca="false">IF(AB75="","",AB75-AC75)</f>
        <v/>
      </c>
    </row>
    <row r="76" customFormat="false" ht="15" hidden="false" customHeight="false" outlineLevel="0" collapsed="false">
      <c r="A76" s="44"/>
      <c r="B76" s="45"/>
      <c r="C76" s="44"/>
      <c r="D76" s="44"/>
      <c r="E76" s="44"/>
      <c r="F76" s="44"/>
      <c r="G76" s="44"/>
      <c r="H76" s="44"/>
      <c r="I76" s="47"/>
      <c r="J76" s="47"/>
      <c r="K76" s="47"/>
      <c r="L76" s="47"/>
      <c r="M76" s="48"/>
      <c r="N76" s="49" t="str">
        <f aca="false">IF(C76="","",IFERROR(VLOOKUP(C76,Lists!$A$5:$C$8,2,FALSE()),""))</f>
        <v/>
      </c>
      <c r="O76" s="49" t="str">
        <f aca="false">IF(C76="","",IFERROR(VLOOKUP(C76,Lists!$A$5:$C$8,3,FALSE()),""))</f>
        <v/>
      </c>
      <c r="P76" s="50"/>
      <c r="Q76" s="50"/>
      <c r="R76" s="51" t="str">
        <f aca="false">IF(OR(I76="",L76="",M76="",N76="",O76=""),"",IF(F76="Long",(L76-I76)/N76*O76*M76,IF(F76="Short",(I76-L76)/N76*O76*M76,"")))</f>
        <v/>
      </c>
      <c r="S76" s="51" t="str">
        <f aca="false">IF(R76="","",R76-P76-Q76)</f>
        <v/>
      </c>
      <c r="T76" s="51" t="str">
        <f aca="false">IF(OR(I76="",J76="",M76="",N76="",O76=""),"",ABS(I76-J76)/N76*O76*M76+P76+Q76)</f>
        <v/>
      </c>
      <c r="U76" s="52" t="str">
        <f aca="false">IF(OR(S76="",T76="",T76=0),"",S76/T76)</f>
        <v/>
      </c>
      <c r="V76" s="50"/>
      <c r="W76" s="50"/>
      <c r="X76" s="44"/>
      <c r="Y76" s="44"/>
      <c r="Z76" s="44"/>
      <c r="AA76" s="44"/>
      <c r="AB76" s="52" t="str">
        <f aca="false">IF(OR(B76="",X76&lt;&gt;"Yes"),"",SUMIFS($U$6:U76,$X$6:X76,"Yes"))</f>
        <v/>
      </c>
      <c r="AC76" s="52" t="str">
        <f aca="false">IF(AB76="","",MAX($AB$6:AB76))</f>
        <v/>
      </c>
      <c r="AD76" s="52" t="str">
        <f aca="false">IF(AB76="","",AB76-AC76)</f>
        <v/>
      </c>
    </row>
    <row r="77" customFormat="false" ht="15" hidden="false" customHeight="false" outlineLevel="0" collapsed="false">
      <c r="A77" s="44"/>
      <c r="B77" s="45"/>
      <c r="C77" s="44"/>
      <c r="D77" s="44"/>
      <c r="E77" s="44"/>
      <c r="F77" s="44"/>
      <c r="G77" s="44"/>
      <c r="H77" s="44"/>
      <c r="I77" s="47"/>
      <c r="J77" s="47"/>
      <c r="K77" s="47"/>
      <c r="L77" s="47"/>
      <c r="M77" s="48"/>
      <c r="N77" s="49" t="str">
        <f aca="false">IF(C77="","",IFERROR(VLOOKUP(C77,Lists!$A$5:$C$8,2,FALSE()),""))</f>
        <v/>
      </c>
      <c r="O77" s="49" t="str">
        <f aca="false">IF(C77="","",IFERROR(VLOOKUP(C77,Lists!$A$5:$C$8,3,FALSE()),""))</f>
        <v/>
      </c>
      <c r="P77" s="50"/>
      <c r="Q77" s="50"/>
      <c r="R77" s="51" t="str">
        <f aca="false">IF(OR(I77="",L77="",M77="",N77="",O77=""),"",IF(F77="Long",(L77-I77)/N77*O77*M77,IF(F77="Short",(I77-L77)/N77*O77*M77,"")))</f>
        <v/>
      </c>
      <c r="S77" s="51" t="str">
        <f aca="false">IF(R77="","",R77-P77-Q77)</f>
        <v/>
      </c>
      <c r="T77" s="51" t="str">
        <f aca="false">IF(OR(I77="",J77="",M77="",N77="",O77=""),"",ABS(I77-J77)/N77*O77*M77+P77+Q77)</f>
        <v/>
      </c>
      <c r="U77" s="52" t="str">
        <f aca="false">IF(OR(S77="",T77="",T77=0),"",S77/T77)</f>
        <v/>
      </c>
      <c r="V77" s="50"/>
      <c r="W77" s="50"/>
      <c r="X77" s="44"/>
      <c r="Y77" s="44"/>
      <c r="Z77" s="44"/>
      <c r="AA77" s="44"/>
      <c r="AB77" s="52" t="str">
        <f aca="false">IF(OR(B77="",X77&lt;&gt;"Yes"),"",SUMIFS($U$6:U77,$X$6:X77,"Yes"))</f>
        <v/>
      </c>
      <c r="AC77" s="52" t="str">
        <f aca="false">IF(AB77="","",MAX($AB$6:AB77))</f>
        <v/>
      </c>
      <c r="AD77" s="52" t="str">
        <f aca="false">IF(AB77="","",AB77-AC77)</f>
        <v/>
      </c>
    </row>
    <row r="78" customFormat="false" ht="15" hidden="false" customHeight="false" outlineLevel="0" collapsed="false">
      <c r="A78" s="44"/>
      <c r="B78" s="45"/>
      <c r="C78" s="44"/>
      <c r="D78" s="44"/>
      <c r="E78" s="44"/>
      <c r="F78" s="44"/>
      <c r="G78" s="44"/>
      <c r="H78" s="44"/>
      <c r="I78" s="47"/>
      <c r="J78" s="47"/>
      <c r="K78" s="47"/>
      <c r="L78" s="47"/>
      <c r="M78" s="48"/>
      <c r="N78" s="49" t="str">
        <f aca="false">IF(C78="","",IFERROR(VLOOKUP(C78,Lists!$A$5:$C$8,2,FALSE()),""))</f>
        <v/>
      </c>
      <c r="O78" s="49" t="str">
        <f aca="false">IF(C78="","",IFERROR(VLOOKUP(C78,Lists!$A$5:$C$8,3,FALSE()),""))</f>
        <v/>
      </c>
      <c r="P78" s="50"/>
      <c r="Q78" s="50"/>
      <c r="R78" s="51" t="str">
        <f aca="false">IF(OR(I78="",L78="",M78="",N78="",O78=""),"",IF(F78="Long",(L78-I78)/N78*O78*M78,IF(F78="Short",(I78-L78)/N78*O78*M78,"")))</f>
        <v/>
      </c>
      <c r="S78" s="51" t="str">
        <f aca="false">IF(R78="","",R78-P78-Q78)</f>
        <v/>
      </c>
      <c r="T78" s="51" t="str">
        <f aca="false">IF(OR(I78="",J78="",M78="",N78="",O78=""),"",ABS(I78-J78)/N78*O78*M78+P78+Q78)</f>
        <v/>
      </c>
      <c r="U78" s="52" t="str">
        <f aca="false">IF(OR(S78="",T78="",T78=0),"",S78/T78)</f>
        <v/>
      </c>
      <c r="V78" s="50"/>
      <c r="W78" s="50"/>
      <c r="X78" s="44"/>
      <c r="Y78" s="44"/>
      <c r="Z78" s="44"/>
      <c r="AA78" s="44"/>
      <c r="AB78" s="52" t="str">
        <f aca="false">IF(OR(B78="",X78&lt;&gt;"Yes"),"",SUMIFS($U$6:U78,$X$6:X78,"Yes"))</f>
        <v/>
      </c>
      <c r="AC78" s="52" t="str">
        <f aca="false">IF(AB78="","",MAX($AB$6:AB78))</f>
        <v/>
      </c>
      <c r="AD78" s="52" t="str">
        <f aca="false">IF(AB78="","",AB78-AC78)</f>
        <v/>
      </c>
    </row>
    <row r="79" customFormat="false" ht="15" hidden="false" customHeight="false" outlineLevel="0" collapsed="false">
      <c r="A79" s="44"/>
      <c r="B79" s="45"/>
      <c r="C79" s="44"/>
      <c r="D79" s="44"/>
      <c r="E79" s="44"/>
      <c r="F79" s="44"/>
      <c r="G79" s="44"/>
      <c r="H79" s="44"/>
      <c r="I79" s="47"/>
      <c r="J79" s="47"/>
      <c r="K79" s="47"/>
      <c r="L79" s="47"/>
      <c r="M79" s="48"/>
      <c r="N79" s="49" t="str">
        <f aca="false">IF(C79="","",IFERROR(VLOOKUP(C79,Lists!$A$5:$C$8,2,FALSE()),""))</f>
        <v/>
      </c>
      <c r="O79" s="49" t="str">
        <f aca="false">IF(C79="","",IFERROR(VLOOKUP(C79,Lists!$A$5:$C$8,3,FALSE()),""))</f>
        <v/>
      </c>
      <c r="P79" s="50"/>
      <c r="Q79" s="50"/>
      <c r="R79" s="51" t="str">
        <f aca="false">IF(OR(I79="",L79="",M79="",N79="",O79=""),"",IF(F79="Long",(L79-I79)/N79*O79*M79,IF(F79="Short",(I79-L79)/N79*O79*M79,"")))</f>
        <v/>
      </c>
      <c r="S79" s="51" t="str">
        <f aca="false">IF(R79="","",R79-P79-Q79)</f>
        <v/>
      </c>
      <c r="T79" s="51" t="str">
        <f aca="false">IF(OR(I79="",J79="",M79="",N79="",O79=""),"",ABS(I79-J79)/N79*O79*M79+P79+Q79)</f>
        <v/>
      </c>
      <c r="U79" s="52" t="str">
        <f aca="false">IF(OR(S79="",T79="",T79=0),"",S79/T79)</f>
        <v/>
      </c>
      <c r="V79" s="50"/>
      <c r="W79" s="50"/>
      <c r="X79" s="44"/>
      <c r="Y79" s="44"/>
      <c r="Z79" s="44"/>
      <c r="AA79" s="44"/>
      <c r="AB79" s="52" t="str">
        <f aca="false">IF(OR(B79="",X79&lt;&gt;"Yes"),"",SUMIFS($U$6:U79,$X$6:X79,"Yes"))</f>
        <v/>
      </c>
      <c r="AC79" s="52" t="str">
        <f aca="false">IF(AB79="","",MAX($AB$6:AB79))</f>
        <v/>
      </c>
      <c r="AD79" s="52" t="str">
        <f aca="false">IF(AB79="","",AB79-AC79)</f>
        <v/>
      </c>
    </row>
    <row r="80" customFormat="false" ht="15" hidden="false" customHeight="false" outlineLevel="0" collapsed="false">
      <c r="A80" s="44"/>
      <c r="B80" s="45"/>
      <c r="C80" s="44"/>
      <c r="D80" s="44"/>
      <c r="E80" s="44"/>
      <c r="F80" s="44"/>
      <c r="G80" s="44"/>
      <c r="H80" s="44"/>
      <c r="I80" s="47"/>
      <c r="J80" s="47"/>
      <c r="K80" s="47"/>
      <c r="L80" s="47"/>
      <c r="M80" s="48"/>
      <c r="N80" s="49" t="str">
        <f aca="false">IF(C80="","",IFERROR(VLOOKUP(C80,Lists!$A$5:$C$8,2,FALSE()),""))</f>
        <v/>
      </c>
      <c r="O80" s="49" t="str">
        <f aca="false">IF(C80="","",IFERROR(VLOOKUP(C80,Lists!$A$5:$C$8,3,FALSE()),""))</f>
        <v/>
      </c>
      <c r="P80" s="50"/>
      <c r="Q80" s="50"/>
      <c r="R80" s="51" t="str">
        <f aca="false">IF(OR(I80="",L80="",M80="",N80="",O80=""),"",IF(F80="Long",(L80-I80)/N80*O80*M80,IF(F80="Short",(I80-L80)/N80*O80*M80,"")))</f>
        <v/>
      </c>
      <c r="S80" s="51" t="str">
        <f aca="false">IF(R80="","",R80-P80-Q80)</f>
        <v/>
      </c>
      <c r="T80" s="51" t="str">
        <f aca="false">IF(OR(I80="",J80="",M80="",N80="",O80=""),"",ABS(I80-J80)/N80*O80*M80+P80+Q80)</f>
        <v/>
      </c>
      <c r="U80" s="52" t="str">
        <f aca="false">IF(OR(S80="",T80="",T80=0),"",S80/T80)</f>
        <v/>
      </c>
      <c r="V80" s="50"/>
      <c r="W80" s="50"/>
      <c r="X80" s="44"/>
      <c r="Y80" s="44"/>
      <c r="Z80" s="44"/>
      <c r="AA80" s="44"/>
      <c r="AB80" s="52" t="str">
        <f aca="false">IF(OR(B80="",X80&lt;&gt;"Yes"),"",SUMIFS($U$6:U80,$X$6:X80,"Yes"))</f>
        <v/>
      </c>
      <c r="AC80" s="52" t="str">
        <f aca="false">IF(AB80="","",MAX($AB$6:AB80))</f>
        <v/>
      </c>
      <c r="AD80" s="52" t="str">
        <f aca="false">IF(AB80="","",AB80-AC80)</f>
        <v/>
      </c>
    </row>
    <row r="81" customFormat="false" ht="15" hidden="false" customHeight="false" outlineLevel="0" collapsed="false">
      <c r="A81" s="44"/>
      <c r="B81" s="45"/>
      <c r="C81" s="44"/>
      <c r="D81" s="44"/>
      <c r="E81" s="44"/>
      <c r="F81" s="44"/>
      <c r="G81" s="44"/>
      <c r="H81" s="44"/>
      <c r="I81" s="47"/>
      <c r="J81" s="47"/>
      <c r="K81" s="47"/>
      <c r="L81" s="47"/>
      <c r="M81" s="48"/>
      <c r="N81" s="49" t="str">
        <f aca="false">IF(C81="","",IFERROR(VLOOKUP(C81,Lists!$A$5:$C$8,2,FALSE()),""))</f>
        <v/>
      </c>
      <c r="O81" s="49" t="str">
        <f aca="false">IF(C81="","",IFERROR(VLOOKUP(C81,Lists!$A$5:$C$8,3,FALSE()),""))</f>
        <v/>
      </c>
      <c r="P81" s="50"/>
      <c r="Q81" s="50"/>
      <c r="R81" s="51" t="str">
        <f aca="false">IF(OR(I81="",L81="",M81="",N81="",O81=""),"",IF(F81="Long",(L81-I81)/N81*O81*M81,IF(F81="Short",(I81-L81)/N81*O81*M81,"")))</f>
        <v/>
      </c>
      <c r="S81" s="51" t="str">
        <f aca="false">IF(R81="","",R81-P81-Q81)</f>
        <v/>
      </c>
      <c r="T81" s="51" t="str">
        <f aca="false">IF(OR(I81="",J81="",M81="",N81="",O81=""),"",ABS(I81-J81)/N81*O81*M81+P81+Q81)</f>
        <v/>
      </c>
      <c r="U81" s="52" t="str">
        <f aca="false">IF(OR(S81="",T81="",T81=0),"",S81/T81)</f>
        <v/>
      </c>
      <c r="V81" s="50"/>
      <c r="W81" s="50"/>
      <c r="X81" s="44"/>
      <c r="Y81" s="44"/>
      <c r="Z81" s="44"/>
      <c r="AA81" s="44"/>
      <c r="AB81" s="52" t="str">
        <f aca="false">IF(OR(B81="",X81&lt;&gt;"Yes"),"",SUMIFS($U$6:U81,$X$6:X81,"Yes"))</f>
        <v/>
      </c>
      <c r="AC81" s="52" t="str">
        <f aca="false">IF(AB81="","",MAX($AB$6:AB81))</f>
        <v/>
      </c>
      <c r="AD81" s="52" t="str">
        <f aca="false">IF(AB81="","",AB81-AC81)</f>
        <v/>
      </c>
    </row>
    <row r="82" customFormat="false" ht="15" hidden="false" customHeight="false" outlineLevel="0" collapsed="false">
      <c r="A82" s="44"/>
      <c r="B82" s="45"/>
      <c r="C82" s="44"/>
      <c r="D82" s="44"/>
      <c r="E82" s="44"/>
      <c r="F82" s="44"/>
      <c r="G82" s="44"/>
      <c r="H82" s="44"/>
      <c r="I82" s="47"/>
      <c r="J82" s="47"/>
      <c r="K82" s="47"/>
      <c r="L82" s="47"/>
      <c r="M82" s="48"/>
      <c r="N82" s="49" t="str">
        <f aca="false">IF(C82="","",IFERROR(VLOOKUP(C82,Lists!$A$5:$C$8,2,FALSE()),""))</f>
        <v/>
      </c>
      <c r="O82" s="49" t="str">
        <f aca="false">IF(C82="","",IFERROR(VLOOKUP(C82,Lists!$A$5:$C$8,3,FALSE()),""))</f>
        <v/>
      </c>
      <c r="P82" s="50"/>
      <c r="Q82" s="50"/>
      <c r="R82" s="51" t="str">
        <f aca="false">IF(OR(I82="",L82="",M82="",N82="",O82=""),"",IF(F82="Long",(L82-I82)/N82*O82*M82,IF(F82="Short",(I82-L82)/N82*O82*M82,"")))</f>
        <v/>
      </c>
      <c r="S82" s="51" t="str">
        <f aca="false">IF(R82="","",R82-P82-Q82)</f>
        <v/>
      </c>
      <c r="T82" s="51" t="str">
        <f aca="false">IF(OR(I82="",J82="",M82="",N82="",O82=""),"",ABS(I82-J82)/N82*O82*M82+P82+Q82)</f>
        <v/>
      </c>
      <c r="U82" s="52" t="str">
        <f aca="false">IF(OR(S82="",T82="",T82=0),"",S82/T82)</f>
        <v/>
      </c>
      <c r="V82" s="50"/>
      <c r="W82" s="50"/>
      <c r="X82" s="44"/>
      <c r="Y82" s="44"/>
      <c r="Z82" s="44"/>
      <c r="AA82" s="44"/>
      <c r="AB82" s="52" t="str">
        <f aca="false">IF(OR(B82="",X82&lt;&gt;"Yes"),"",SUMIFS($U$6:U82,$X$6:X82,"Yes"))</f>
        <v/>
      </c>
      <c r="AC82" s="52" t="str">
        <f aca="false">IF(AB82="","",MAX($AB$6:AB82))</f>
        <v/>
      </c>
      <c r="AD82" s="52" t="str">
        <f aca="false">IF(AB82="","",AB82-AC82)</f>
        <v/>
      </c>
    </row>
    <row r="83" customFormat="false" ht="15" hidden="false" customHeight="false" outlineLevel="0" collapsed="false">
      <c r="A83" s="44"/>
      <c r="B83" s="45"/>
      <c r="C83" s="44"/>
      <c r="D83" s="44"/>
      <c r="E83" s="44"/>
      <c r="F83" s="44"/>
      <c r="G83" s="44"/>
      <c r="H83" s="44"/>
      <c r="I83" s="47"/>
      <c r="J83" s="47"/>
      <c r="K83" s="47"/>
      <c r="L83" s="47"/>
      <c r="M83" s="48"/>
      <c r="N83" s="49" t="str">
        <f aca="false">IF(C83="","",IFERROR(VLOOKUP(C83,Lists!$A$5:$C$8,2,FALSE()),""))</f>
        <v/>
      </c>
      <c r="O83" s="49" t="str">
        <f aca="false">IF(C83="","",IFERROR(VLOOKUP(C83,Lists!$A$5:$C$8,3,FALSE()),""))</f>
        <v/>
      </c>
      <c r="P83" s="50"/>
      <c r="Q83" s="50"/>
      <c r="R83" s="51" t="str">
        <f aca="false">IF(OR(I83="",L83="",M83="",N83="",O83=""),"",IF(F83="Long",(L83-I83)/N83*O83*M83,IF(F83="Short",(I83-L83)/N83*O83*M83,"")))</f>
        <v/>
      </c>
      <c r="S83" s="51" t="str">
        <f aca="false">IF(R83="","",R83-P83-Q83)</f>
        <v/>
      </c>
      <c r="T83" s="51" t="str">
        <f aca="false">IF(OR(I83="",J83="",M83="",N83="",O83=""),"",ABS(I83-J83)/N83*O83*M83+P83+Q83)</f>
        <v/>
      </c>
      <c r="U83" s="52" t="str">
        <f aca="false">IF(OR(S83="",T83="",T83=0),"",S83/T83)</f>
        <v/>
      </c>
      <c r="V83" s="50"/>
      <c r="W83" s="50"/>
      <c r="X83" s="44"/>
      <c r="Y83" s="44"/>
      <c r="Z83" s="44"/>
      <c r="AA83" s="44"/>
      <c r="AB83" s="52" t="str">
        <f aca="false">IF(OR(B83="",X83&lt;&gt;"Yes"),"",SUMIFS($U$6:U83,$X$6:X83,"Yes"))</f>
        <v/>
      </c>
      <c r="AC83" s="52" t="str">
        <f aca="false">IF(AB83="","",MAX($AB$6:AB83))</f>
        <v/>
      </c>
      <c r="AD83" s="52" t="str">
        <f aca="false">IF(AB83="","",AB83-AC83)</f>
        <v/>
      </c>
    </row>
    <row r="84" customFormat="false" ht="15" hidden="false" customHeight="false" outlineLevel="0" collapsed="false">
      <c r="A84" s="44"/>
      <c r="B84" s="45"/>
      <c r="C84" s="44"/>
      <c r="D84" s="44"/>
      <c r="E84" s="44"/>
      <c r="F84" s="44"/>
      <c r="G84" s="44"/>
      <c r="H84" s="44"/>
      <c r="I84" s="47"/>
      <c r="J84" s="47"/>
      <c r="K84" s="47"/>
      <c r="L84" s="47"/>
      <c r="M84" s="48"/>
      <c r="N84" s="49" t="str">
        <f aca="false">IF(C84="","",IFERROR(VLOOKUP(C84,Lists!$A$5:$C$8,2,FALSE()),""))</f>
        <v/>
      </c>
      <c r="O84" s="49" t="str">
        <f aca="false">IF(C84="","",IFERROR(VLOOKUP(C84,Lists!$A$5:$C$8,3,FALSE()),""))</f>
        <v/>
      </c>
      <c r="P84" s="50"/>
      <c r="Q84" s="50"/>
      <c r="R84" s="51" t="str">
        <f aca="false">IF(OR(I84="",L84="",M84="",N84="",O84=""),"",IF(F84="Long",(L84-I84)/N84*O84*M84,IF(F84="Short",(I84-L84)/N84*O84*M84,"")))</f>
        <v/>
      </c>
      <c r="S84" s="51" t="str">
        <f aca="false">IF(R84="","",R84-P84-Q84)</f>
        <v/>
      </c>
      <c r="T84" s="51" t="str">
        <f aca="false">IF(OR(I84="",J84="",M84="",N84="",O84=""),"",ABS(I84-J84)/N84*O84*M84+P84+Q84)</f>
        <v/>
      </c>
      <c r="U84" s="52" t="str">
        <f aca="false">IF(OR(S84="",T84="",T84=0),"",S84/T84)</f>
        <v/>
      </c>
      <c r="V84" s="50"/>
      <c r="W84" s="50"/>
      <c r="X84" s="44"/>
      <c r="Y84" s="44"/>
      <c r="Z84" s="44"/>
      <c r="AA84" s="44"/>
      <c r="AB84" s="52" t="str">
        <f aca="false">IF(OR(B84="",X84&lt;&gt;"Yes"),"",SUMIFS($U$6:U84,$X$6:X84,"Yes"))</f>
        <v/>
      </c>
      <c r="AC84" s="52" t="str">
        <f aca="false">IF(AB84="","",MAX($AB$6:AB84))</f>
        <v/>
      </c>
      <c r="AD84" s="52" t="str">
        <f aca="false">IF(AB84="","",AB84-AC84)</f>
        <v/>
      </c>
    </row>
    <row r="85" customFormat="false" ht="15" hidden="false" customHeight="false" outlineLevel="0" collapsed="false">
      <c r="A85" s="44"/>
      <c r="B85" s="45"/>
      <c r="C85" s="44"/>
      <c r="D85" s="44"/>
      <c r="E85" s="44"/>
      <c r="F85" s="44"/>
      <c r="G85" s="44"/>
      <c r="H85" s="44"/>
      <c r="I85" s="47"/>
      <c r="J85" s="47"/>
      <c r="K85" s="47"/>
      <c r="L85" s="47"/>
      <c r="M85" s="48"/>
      <c r="N85" s="49" t="str">
        <f aca="false">IF(C85="","",IFERROR(VLOOKUP(C85,Lists!$A$5:$C$8,2,FALSE()),""))</f>
        <v/>
      </c>
      <c r="O85" s="49" t="str">
        <f aca="false">IF(C85="","",IFERROR(VLOOKUP(C85,Lists!$A$5:$C$8,3,FALSE()),""))</f>
        <v/>
      </c>
      <c r="P85" s="50"/>
      <c r="Q85" s="50"/>
      <c r="R85" s="51" t="str">
        <f aca="false">IF(OR(I85="",L85="",M85="",N85="",O85=""),"",IF(F85="Long",(L85-I85)/N85*O85*M85,IF(F85="Short",(I85-L85)/N85*O85*M85,"")))</f>
        <v/>
      </c>
      <c r="S85" s="51" t="str">
        <f aca="false">IF(R85="","",R85-P85-Q85)</f>
        <v/>
      </c>
      <c r="T85" s="51" t="str">
        <f aca="false">IF(OR(I85="",J85="",M85="",N85="",O85=""),"",ABS(I85-J85)/N85*O85*M85+P85+Q85)</f>
        <v/>
      </c>
      <c r="U85" s="52" t="str">
        <f aca="false">IF(OR(S85="",T85="",T85=0),"",S85/T85)</f>
        <v/>
      </c>
      <c r="V85" s="50"/>
      <c r="W85" s="50"/>
      <c r="X85" s="44"/>
      <c r="Y85" s="44"/>
      <c r="Z85" s="44"/>
      <c r="AA85" s="44"/>
      <c r="AB85" s="52" t="str">
        <f aca="false">IF(OR(B85="",X85&lt;&gt;"Yes"),"",SUMIFS($U$6:U85,$X$6:X85,"Yes"))</f>
        <v/>
      </c>
      <c r="AC85" s="52" t="str">
        <f aca="false">IF(AB85="","",MAX($AB$6:AB85))</f>
        <v/>
      </c>
      <c r="AD85" s="52" t="str">
        <f aca="false">IF(AB85="","",AB85-AC85)</f>
        <v/>
      </c>
    </row>
    <row r="86" customFormat="false" ht="15" hidden="false" customHeight="false" outlineLevel="0" collapsed="false">
      <c r="A86" s="44"/>
      <c r="B86" s="45"/>
      <c r="C86" s="44"/>
      <c r="D86" s="44"/>
      <c r="E86" s="44"/>
      <c r="F86" s="44"/>
      <c r="G86" s="44"/>
      <c r="H86" s="44"/>
      <c r="I86" s="47"/>
      <c r="J86" s="47"/>
      <c r="K86" s="47"/>
      <c r="L86" s="47"/>
      <c r="M86" s="48"/>
      <c r="N86" s="49" t="str">
        <f aca="false">IF(C86="","",IFERROR(VLOOKUP(C86,Lists!$A$5:$C$8,2,FALSE()),""))</f>
        <v/>
      </c>
      <c r="O86" s="49" t="str">
        <f aca="false">IF(C86="","",IFERROR(VLOOKUP(C86,Lists!$A$5:$C$8,3,FALSE()),""))</f>
        <v/>
      </c>
      <c r="P86" s="50"/>
      <c r="Q86" s="50"/>
      <c r="R86" s="51" t="str">
        <f aca="false">IF(OR(I86="",L86="",M86="",N86="",O86=""),"",IF(F86="Long",(L86-I86)/N86*O86*M86,IF(F86="Short",(I86-L86)/N86*O86*M86,"")))</f>
        <v/>
      </c>
      <c r="S86" s="51" t="str">
        <f aca="false">IF(R86="","",R86-P86-Q86)</f>
        <v/>
      </c>
      <c r="T86" s="51" t="str">
        <f aca="false">IF(OR(I86="",J86="",M86="",N86="",O86=""),"",ABS(I86-J86)/N86*O86*M86+P86+Q86)</f>
        <v/>
      </c>
      <c r="U86" s="52" t="str">
        <f aca="false">IF(OR(S86="",T86="",T86=0),"",S86/T86)</f>
        <v/>
      </c>
      <c r="V86" s="50"/>
      <c r="W86" s="50"/>
      <c r="X86" s="44"/>
      <c r="Y86" s="44"/>
      <c r="Z86" s="44"/>
      <c r="AA86" s="44"/>
      <c r="AB86" s="52" t="str">
        <f aca="false">IF(OR(B86="",X86&lt;&gt;"Yes"),"",SUMIFS($U$6:U86,$X$6:X86,"Yes"))</f>
        <v/>
      </c>
      <c r="AC86" s="52" t="str">
        <f aca="false">IF(AB86="","",MAX($AB$6:AB86))</f>
        <v/>
      </c>
      <c r="AD86" s="52" t="str">
        <f aca="false">IF(AB86="","",AB86-AC86)</f>
        <v/>
      </c>
    </row>
    <row r="87" customFormat="false" ht="15" hidden="false" customHeight="false" outlineLevel="0" collapsed="false">
      <c r="A87" s="44"/>
      <c r="B87" s="45"/>
      <c r="C87" s="44"/>
      <c r="D87" s="44"/>
      <c r="E87" s="44"/>
      <c r="F87" s="44"/>
      <c r="G87" s="44"/>
      <c r="H87" s="44"/>
      <c r="I87" s="47"/>
      <c r="J87" s="47"/>
      <c r="K87" s="47"/>
      <c r="L87" s="47"/>
      <c r="M87" s="48"/>
      <c r="N87" s="49" t="str">
        <f aca="false">IF(C87="","",IFERROR(VLOOKUP(C87,Lists!$A$5:$C$8,2,FALSE()),""))</f>
        <v/>
      </c>
      <c r="O87" s="49" t="str">
        <f aca="false">IF(C87="","",IFERROR(VLOOKUP(C87,Lists!$A$5:$C$8,3,FALSE()),""))</f>
        <v/>
      </c>
      <c r="P87" s="50"/>
      <c r="Q87" s="50"/>
      <c r="R87" s="51" t="str">
        <f aca="false">IF(OR(I87="",L87="",M87="",N87="",O87=""),"",IF(F87="Long",(L87-I87)/N87*O87*M87,IF(F87="Short",(I87-L87)/N87*O87*M87,"")))</f>
        <v/>
      </c>
      <c r="S87" s="51" t="str">
        <f aca="false">IF(R87="","",R87-P87-Q87)</f>
        <v/>
      </c>
      <c r="T87" s="51" t="str">
        <f aca="false">IF(OR(I87="",J87="",M87="",N87="",O87=""),"",ABS(I87-J87)/N87*O87*M87+P87+Q87)</f>
        <v/>
      </c>
      <c r="U87" s="52" t="str">
        <f aca="false">IF(OR(S87="",T87="",T87=0),"",S87/T87)</f>
        <v/>
      </c>
      <c r="V87" s="50"/>
      <c r="W87" s="50"/>
      <c r="X87" s="44"/>
      <c r="Y87" s="44"/>
      <c r="Z87" s="44"/>
      <c r="AA87" s="44"/>
      <c r="AB87" s="52" t="str">
        <f aca="false">IF(OR(B87="",X87&lt;&gt;"Yes"),"",SUMIFS($U$6:U87,$X$6:X87,"Yes"))</f>
        <v/>
      </c>
      <c r="AC87" s="52" t="str">
        <f aca="false">IF(AB87="","",MAX($AB$6:AB87))</f>
        <v/>
      </c>
      <c r="AD87" s="52" t="str">
        <f aca="false">IF(AB87="","",AB87-AC87)</f>
        <v/>
      </c>
    </row>
    <row r="88" customFormat="false" ht="15" hidden="false" customHeight="false" outlineLevel="0" collapsed="false">
      <c r="A88" s="44"/>
      <c r="B88" s="45"/>
      <c r="C88" s="44"/>
      <c r="D88" s="44"/>
      <c r="E88" s="44"/>
      <c r="F88" s="44"/>
      <c r="G88" s="44"/>
      <c r="H88" s="44"/>
      <c r="I88" s="47"/>
      <c r="J88" s="47"/>
      <c r="K88" s="47"/>
      <c r="L88" s="47"/>
      <c r="M88" s="48"/>
      <c r="N88" s="49" t="str">
        <f aca="false">IF(C88="","",IFERROR(VLOOKUP(C88,Lists!$A$5:$C$8,2,FALSE()),""))</f>
        <v/>
      </c>
      <c r="O88" s="49" t="str">
        <f aca="false">IF(C88="","",IFERROR(VLOOKUP(C88,Lists!$A$5:$C$8,3,FALSE()),""))</f>
        <v/>
      </c>
      <c r="P88" s="50"/>
      <c r="Q88" s="50"/>
      <c r="R88" s="51" t="str">
        <f aca="false">IF(OR(I88="",L88="",M88="",N88="",O88=""),"",IF(F88="Long",(L88-I88)/N88*O88*M88,IF(F88="Short",(I88-L88)/N88*O88*M88,"")))</f>
        <v/>
      </c>
      <c r="S88" s="51" t="str">
        <f aca="false">IF(R88="","",R88-P88-Q88)</f>
        <v/>
      </c>
      <c r="T88" s="51" t="str">
        <f aca="false">IF(OR(I88="",J88="",M88="",N88="",O88=""),"",ABS(I88-J88)/N88*O88*M88+P88+Q88)</f>
        <v/>
      </c>
      <c r="U88" s="52" t="str">
        <f aca="false">IF(OR(S88="",T88="",T88=0),"",S88/T88)</f>
        <v/>
      </c>
      <c r="V88" s="50"/>
      <c r="W88" s="50"/>
      <c r="X88" s="44"/>
      <c r="Y88" s="44"/>
      <c r="Z88" s="44"/>
      <c r="AA88" s="44"/>
      <c r="AB88" s="52" t="str">
        <f aca="false">IF(OR(B88="",X88&lt;&gt;"Yes"),"",SUMIFS($U$6:U88,$X$6:X88,"Yes"))</f>
        <v/>
      </c>
      <c r="AC88" s="52" t="str">
        <f aca="false">IF(AB88="","",MAX($AB$6:AB88))</f>
        <v/>
      </c>
      <c r="AD88" s="52" t="str">
        <f aca="false">IF(AB88="","",AB88-AC88)</f>
        <v/>
      </c>
    </row>
    <row r="89" customFormat="false" ht="15" hidden="false" customHeight="false" outlineLevel="0" collapsed="false">
      <c r="A89" s="44"/>
      <c r="B89" s="45"/>
      <c r="C89" s="44"/>
      <c r="D89" s="44"/>
      <c r="E89" s="44"/>
      <c r="F89" s="44"/>
      <c r="G89" s="44"/>
      <c r="H89" s="44"/>
      <c r="I89" s="47"/>
      <c r="J89" s="47"/>
      <c r="K89" s="47"/>
      <c r="L89" s="47"/>
      <c r="M89" s="48"/>
      <c r="N89" s="49" t="str">
        <f aca="false">IF(C89="","",IFERROR(VLOOKUP(C89,Lists!$A$5:$C$8,2,FALSE()),""))</f>
        <v/>
      </c>
      <c r="O89" s="49" t="str">
        <f aca="false">IF(C89="","",IFERROR(VLOOKUP(C89,Lists!$A$5:$C$8,3,FALSE()),""))</f>
        <v/>
      </c>
      <c r="P89" s="50"/>
      <c r="Q89" s="50"/>
      <c r="R89" s="51" t="str">
        <f aca="false">IF(OR(I89="",L89="",M89="",N89="",O89=""),"",IF(F89="Long",(L89-I89)/N89*O89*M89,IF(F89="Short",(I89-L89)/N89*O89*M89,"")))</f>
        <v/>
      </c>
      <c r="S89" s="51" t="str">
        <f aca="false">IF(R89="","",R89-P89-Q89)</f>
        <v/>
      </c>
      <c r="T89" s="51" t="str">
        <f aca="false">IF(OR(I89="",J89="",M89="",N89="",O89=""),"",ABS(I89-J89)/N89*O89*M89+P89+Q89)</f>
        <v/>
      </c>
      <c r="U89" s="52" t="str">
        <f aca="false">IF(OR(S89="",T89="",T89=0),"",S89/T89)</f>
        <v/>
      </c>
      <c r="V89" s="50"/>
      <c r="W89" s="50"/>
      <c r="X89" s="44"/>
      <c r="Y89" s="44"/>
      <c r="Z89" s="44"/>
      <c r="AA89" s="44"/>
      <c r="AB89" s="52" t="str">
        <f aca="false">IF(OR(B89="",X89&lt;&gt;"Yes"),"",SUMIFS($U$6:U89,$X$6:X89,"Yes"))</f>
        <v/>
      </c>
      <c r="AC89" s="52" t="str">
        <f aca="false">IF(AB89="","",MAX($AB$6:AB89))</f>
        <v/>
      </c>
      <c r="AD89" s="52" t="str">
        <f aca="false">IF(AB89="","",AB89-AC89)</f>
        <v/>
      </c>
    </row>
    <row r="90" customFormat="false" ht="15" hidden="false" customHeight="false" outlineLevel="0" collapsed="false">
      <c r="A90" s="44"/>
      <c r="B90" s="45"/>
      <c r="C90" s="44"/>
      <c r="D90" s="44"/>
      <c r="E90" s="44"/>
      <c r="F90" s="44"/>
      <c r="G90" s="44"/>
      <c r="H90" s="44"/>
      <c r="I90" s="47"/>
      <c r="J90" s="47"/>
      <c r="K90" s="47"/>
      <c r="L90" s="47"/>
      <c r="M90" s="48"/>
      <c r="N90" s="49" t="str">
        <f aca="false">IF(C90="","",IFERROR(VLOOKUP(C90,Lists!$A$5:$C$8,2,FALSE()),""))</f>
        <v/>
      </c>
      <c r="O90" s="49" t="str">
        <f aca="false">IF(C90="","",IFERROR(VLOOKUP(C90,Lists!$A$5:$C$8,3,FALSE()),""))</f>
        <v/>
      </c>
      <c r="P90" s="50"/>
      <c r="Q90" s="50"/>
      <c r="R90" s="51" t="str">
        <f aca="false">IF(OR(I90="",L90="",M90="",N90="",O90=""),"",IF(F90="Long",(L90-I90)/N90*O90*M90,IF(F90="Short",(I90-L90)/N90*O90*M90,"")))</f>
        <v/>
      </c>
      <c r="S90" s="51" t="str">
        <f aca="false">IF(R90="","",R90-P90-Q90)</f>
        <v/>
      </c>
      <c r="T90" s="51" t="str">
        <f aca="false">IF(OR(I90="",J90="",M90="",N90="",O90=""),"",ABS(I90-J90)/N90*O90*M90+P90+Q90)</f>
        <v/>
      </c>
      <c r="U90" s="52" t="str">
        <f aca="false">IF(OR(S90="",T90="",T90=0),"",S90/T90)</f>
        <v/>
      </c>
      <c r="V90" s="50"/>
      <c r="W90" s="50"/>
      <c r="X90" s="44"/>
      <c r="Y90" s="44"/>
      <c r="Z90" s="44"/>
      <c r="AA90" s="44"/>
      <c r="AB90" s="52" t="str">
        <f aca="false">IF(OR(B90="",X90&lt;&gt;"Yes"),"",SUMIFS($U$6:U90,$X$6:X90,"Yes"))</f>
        <v/>
      </c>
      <c r="AC90" s="52" t="str">
        <f aca="false">IF(AB90="","",MAX($AB$6:AB90))</f>
        <v/>
      </c>
      <c r="AD90" s="52" t="str">
        <f aca="false">IF(AB90="","",AB90-AC90)</f>
        <v/>
      </c>
    </row>
    <row r="91" customFormat="false" ht="15" hidden="false" customHeight="false" outlineLevel="0" collapsed="false">
      <c r="A91" s="44"/>
      <c r="B91" s="45"/>
      <c r="C91" s="44"/>
      <c r="D91" s="44"/>
      <c r="E91" s="44"/>
      <c r="F91" s="44"/>
      <c r="G91" s="44"/>
      <c r="H91" s="44"/>
      <c r="I91" s="47"/>
      <c r="J91" s="47"/>
      <c r="K91" s="47"/>
      <c r="L91" s="47"/>
      <c r="M91" s="48"/>
      <c r="N91" s="49" t="str">
        <f aca="false">IF(C91="","",IFERROR(VLOOKUP(C91,Lists!$A$5:$C$8,2,FALSE()),""))</f>
        <v/>
      </c>
      <c r="O91" s="49" t="str">
        <f aca="false">IF(C91="","",IFERROR(VLOOKUP(C91,Lists!$A$5:$C$8,3,FALSE()),""))</f>
        <v/>
      </c>
      <c r="P91" s="50"/>
      <c r="Q91" s="50"/>
      <c r="R91" s="51" t="str">
        <f aca="false">IF(OR(I91="",L91="",M91="",N91="",O91=""),"",IF(F91="Long",(L91-I91)/N91*O91*M91,IF(F91="Short",(I91-L91)/N91*O91*M91,"")))</f>
        <v/>
      </c>
      <c r="S91" s="51" t="str">
        <f aca="false">IF(R91="","",R91-P91-Q91)</f>
        <v/>
      </c>
      <c r="T91" s="51" t="str">
        <f aca="false">IF(OR(I91="",J91="",M91="",N91="",O91=""),"",ABS(I91-J91)/N91*O91*M91+P91+Q91)</f>
        <v/>
      </c>
      <c r="U91" s="52" t="str">
        <f aca="false">IF(OR(S91="",T91="",T91=0),"",S91/T91)</f>
        <v/>
      </c>
      <c r="V91" s="50"/>
      <c r="W91" s="50"/>
      <c r="X91" s="44"/>
      <c r="Y91" s="44"/>
      <c r="Z91" s="44"/>
      <c r="AA91" s="44"/>
      <c r="AB91" s="52" t="str">
        <f aca="false">IF(OR(B91="",X91&lt;&gt;"Yes"),"",SUMIFS($U$6:U91,$X$6:X91,"Yes"))</f>
        <v/>
      </c>
      <c r="AC91" s="52" t="str">
        <f aca="false">IF(AB91="","",MAX($AB$6:AB91))</f>
        <v/>
      </c>
      <c r="AD91" s="52" t="str">
        <f aca="false">IF(AB91="","",AB91-AC91)</f>
        <v/>
      </c>
    </row>
    <row r="92" customFormat="false" ht="15" hidden="false" customHeight="false" outlineLevel="0" collapsed="false">
      <c r="A92" s="44"/>
      <c r="B92" s="45"/>
      <c r="C92" s="44"/>
      <c r="D92" s="44"/>
      <c r="E92" s="44"/>
      <c r="F92" s="44"/>
      <c r="G92" s="44"/>
      <c r="H92" s="44"/>
      <c r="I92" s="47"/>
      <c r="J92" s="47"/>
      <c r="K92" s="47"/>
      <c r="L92" s="47"/>
      <c r="M92" s="48"/>
      <c r="N92" s="49" t="str">
        <f aca="false">IF(C92="","",IFERROR(VLOOKUP(C92,Lists!$A$5:$C$8,2,FALSE()),""))</f>
        <v/>
      </c>
      <c r="O92" s="49" t="str">
        <f aca="false">IF(C92="","",IFERROR(VLOOKUP(C92,Lists!$A$5:$C$8,3,FALSE()),""))</f>
        <v/>
      </c>
      <c r="P92" s="50"/>
      <c r="Q92" s="50"/>
      <c r="R92" s="51" t="str">
        <f aca="false">IF(OR(I92="",L92="",M92="",N92="",O92=""),"",IF(F92="Long",(L92-I92)/N92*O92*M92,IF(F92="Short",(I92-L92)/N92*O92*M92,"")))</f>
        <v/>
      </c>
      <c r="S92" s="51" t="str">
        <f aca="false">IF(R92="","",R92-P92-Q92)</f>
        <v/>
      </c>
      <c r="T92" s="51" t="str">
        <f aca="false">IF(OR(I92="",J92="",M92="",N92="",O92=""),"",ABS(I92-J92)/N92*O92*M92+P92+Q92)</f>
        <v/>
      </c>
      <c r="U92" s="52" t="str">
        <f aca="false">IF(OR(S92="",T92="",T92=0),"",S92/T92)</f>
        <v/>
      </c>
      <c r="V92" s="50"/>
      <c r="W92" s="50"/>
      <c r="X92" s="44"/>
      <c r="Y92" s="44"/>
      <c r="Z92" s="44"/>
      <c r="AA92" s="44"/>
      <c r="AB92" s="52" t="str">
        <f aca="false">IF(OR(B92="",X92&lt;&gt;"Yes"),"",SUMIFS($U$6:U92,$X$6:X92,"Yes"))</f>
        <v/>
      </c>
      <c r="AC92" s="52" t="str">
        <f aca="false">IF(AB92="","",MAX($AB$6:AB92))</f>
        <v/>
      </c>
      <c r="AD92" s="52" t="str">
        <f aca="false">IF(AB92="","",AB92-AC92)</f>
        <v/>
      </c>
    </row>
    <row r="93" customFormat="false" ht="15" hidden="false" customHeight="false" outlineLevel="0" collapsed="false">
      <c r="A93" s="44"/>
      <c r="B93" s="45"/>
      <c r="C93" s="44"/>
      <c r="D93" s="44"/>
      <c r="E93" s="44"/>
      <c r="F93" s="44"/>
      <c r="G93" s="44"/>
      <c r="H93" s="44"/>
      <c r="I93" s="47"/>
      <c r="J93" s="47"/>
      <c r="K93" s="47"/>
      <c r="L93" s="47"/>
      <c r="M93" s="48"/>
      <c r="N93" s="49" t="str">
        <f aca="false">IF(C93="","",IFERROR(VLOOKUP(C93,Lists!$A$5:$C$8,2,FALSE()),""))</f>
        <v/>
      </c>
      <c r="O93" s="49" t="str">
        <f aca="false">IF(C93="","",IFERROR(VLOOKUP(C93,Lists!$A$5:$C$8,3,FALSE()),""))</f>
        <v/>
      </c>
      <c r="P93" s="50"/>
      <c r="Q93" s="50"/>
      <c r="R93" s="51" t="str">
        <f aca="false">IF(OR(I93="",L93="",M93="",N93="",O93=""),"",IF(F93="Long",(L93-I93)/N93*O93*M93,IF(F93="Short",(I93-L93)/N93*O93*M93,"")))</f>
        <v/>
      </c>
      <c r="S93" s="51" t="str">
        <f aca="false">IF(R93="","",R93-P93-Q93)</f>
        <v/>
      </c>
      <c r="T93" s="51" t="str">
        <f aca="false">IF(OR(I93="",J93="",M93="",N93="",O93=""),"",ABS(I93-J93)/N93*O93*M93+P93+Q93)</f>
        <v/>
      </c>
      <c r="U93" s="52" t="str">
        <f aca="false">IF(OR(S93="",T93="",T93=0),"",S93/T93)</f>
        <v/>
      </c>
      <c r="V93" s="50"/>
      <c r="W93" s="50"/>
      <c r="X93" s="44"/>
      <c r="Y93" s="44"/>
      <c r="Z93" s="44"/>
      <c r="AA93" s="44"/>
      <c r="AB93" s="52" t="str">
        <f aca="false">IF(OR(B93="",X93&lt;&gt;"Yes"),"",SUMIFS($U$6:U93,$X$6:X93,"Yes"))</f>
        <v/>
      </c>
      <c r="AC93" s="52" t="str">
        <f aca="false">IF(AB93="","",MAX($AB$6:AB93))</f>
        <v/>
      </c>
      <c r="AD93" s="52" t="str">
        <f aca="false">IF(AB93="","",AB93-AC93)</f>
        <v/>
      </c>
    </row>
    <row r="94" customFormat="false" ht="15" hidden="false" customHeight="false" outlineLevel="0" collapsed="false">
      <c r="A94" s="44"/>
      <c r="B94" s="45"/>
      <c r="C94" s="44"/>
      <c r="D94" s="44"/>
      <c r="E94" s="44"/>
      <c r="F94" s="44"/>
      <c r="G94" s="44"/>
      <c r="H94" s="44"/>
      <c r="I94" s="47"/>
      <c r="J94" s="47"/>
      <c r="K94" s="47"/>
      <c r="L94" s="47"/>
      <c r="M94" s="48"/>
      <c r="N94" s="49" t="str">
        <f aca="false">IF(C94="","",IFERROR(VLOOKUP(C94,Lists!$A$5:$C$8,2,FALSE()),""))</f>
        <v/>
      </c>
      <c r="O94" s="49" t="str">
        <f aca="false">IF(C94="","",IFERROR(VLOOKUP(C94,Lists!$A$5:$C$8,3,FALSE()),""))</f>
        <v/>
      </c>
      <c r="P94" s="50"/>
      <c r="Q94" s="50"/>
      <c r="R94" s="51" t="str">
        <f aca="false">IF(OR(I94="",L94="",M94="",N94="",O94=""),"",IF(F94="Long",(L94-I94)/N94*O94*M94,IF(F94="Short",(I94-L94)/N94*O94*M94,"")))</f>
        <v/>
      </c>
      <c r="S94" s="51" t="str">
        <f aca="false">IF(R94="","",R94-P94-Q94)</f>
        <v/>
      </c>
      <c r="T94" s="51" t="str">
        <f aca="false">IF(OR(I94="",J94="",M94="",N94="",O94=""),"",ABS(I94-J94)/N94*O94*M94+P94+Q94)</f>
        <v/>
      </c>
      <c r="U94" s="52" t="str">
        <f aca="false">IF(OR(S94="",T94="",T94=0),"",S94/T94)</f>
        <v/>
      </c>
      <c r="V94" s="50"/>
      <c r="W94" s="50"/>
      <c r="X94" s="44"/>
      <c r="Y94" s="44"/>
      <c r="Z94" s="44"/>
      <c r="AA94" s="44"/>
      <c r="AB94" s="52" t="str">
        <f aca="false">IF(OR(B94="",X94&lt;&gt;"Yes"),"",SUMIFS($U$6:U94,$X$6:X94,"Yes"))</f>
        <v/>
      </c>
      <c r="AC94" s="52" t="str">
        <f aca="false">IF(AB94="","",MAX($AB$6:AB94))</f>
        <v/>
      </c>
      <c r="AD94" s="52" t="str">
        <f aca="false">IF(AB94="","",AB94-AC94)</f>
        <v/>
      </c>
    </row>
    <row r="95" customFormat="false" ht="15" hidden="false" customHeight="false" outlineLevel="0" collapsed="false">
      <c r="A95" s="44"/>
      <c r="B95" s="45"/>
      <c r="C95" s="44"/>
      <c r="D95" s="44"/>
      <c r="E95" s="44"/>
      <c r="F95" s="44"/>
      <c r="G95" s="44"/>
      <c r="H95" s="44"/>
      <c r="I95" s="47"/>
      <c r="J95" s="47"/>
      <c r="K95" s="47"/>
      <c r="L95" s="47"/>
      <c r="M95" s="48"/>
      <c r="N95" s="49" t="str">
        <f aca="false">IF(C95="","",IFERROR(VLOOKUP(C95,Lists!$A$5:$C$8,2,FALSE()),""))</f>
        <v/>
      </c>
      <c r="O95" s="49" t="str">
        <f aca="false">IF(C95="","",IFERROR(VLOOKUP(C95,Lists!$A$5:$C$8,3,FALSE()),""))</f>
        <v/>
      </c>
      <c r="P95" s="50"/>
      <c r="Q95" s="50"/>
      <c r="R95" s="51" t="str">
        <f aca="false">IF(OR(I95="",L95="",M95="",N95="",O95=""),"",IF(F95="Long",(L95-I95)/N95*O95*M95,IF(F95="Short",(I95-L95)/N95*O95*M95,"")))</f>
        <v/>
      </c>
      <c r="S95" s="51" t="str">
        <f aca="false">IF(R95="","",R95-P95-Q95)</f>
        <v/>
      </c>
      <c r="T95" s="51" t="str">
        <f aca="false">IF(OR(I95="",J95="",M95="",N95="",O95=""),"",ABS(I95-J95)/N95*O95*M95+P95+Q95)</f>
        <v/>
      </c>
      <c r="U95" s="52" t="str">
        <f aca="false">IF(OR(S95="",T95="",T95=0),"",S95/T95)</f>
        <v/>
      </c>
      <c r="V95" s="50"/>
      <c r="W95" s="50"/>
      <c r="X95" s="44"/>
      <c r="Y95" s="44"/>
      <c r="Z95" s="44"/>
      <c r="AA95" s="44"/>
      <c r="AB95" s="52" t="str">
        <f aca="false">IF(OR(B95="",X95&lt;&gt;"Yes"),"",SUMIFS($U$6:U95,$X$6:X95,"Yes"))</f>
        <v/>
      </c>
      <c r="AC95" s="52" t="str">
        <f aca="false">IF(AB95="","",MAX($AB$6:AB95))</f>
        <v/>
      </c>
      <c r="AD95" s="52" t="str">
        <f aca="false">IF(AB95="","",AB95-AC95)</f>
        <v/>
      </c>
    </row>
    <row r="96" customFormat="false" ht="15" hidden="false" customHeight="false" outlineLevel="0" collapsed="false">
      <c r="A96" s="44"/>
      <c r="B96" s="45"/>
      <c r="C96" s="44"/>
      <c r="D96" s="44"/>
      <c r="E96" s="44"/>
      <c r="F96" s="44"/>
      <c r="G96" s="44"/>
      <c r="H96" s="44"/>
      <c r="I96" s="47"/>
      <c r="J96" s="47"/>
      <c r="K96" s="47"/>
      <c r="L96" s="47"/>
      <c r="M96" s="48"/>
      <c r="N96" s="49" t="str">
        <f aca="false">IF(C96="","",IFERROR(VLOOKUP(C96,Lists!$A$5:$C$8,2,FALSE()),""))</f>
        <v/>
      </c>
      <c r="O96" s="49" t="str">
        <f aca="false">IF(C96="","",IFERROR(VLOOKUP(C96,Lists!$A$5:$C$8,3,FALSE()),""))</f>
        <v/>
      </c>
      <c r="P96" s="50"/>
      <c r="Q96" s="50"/>
      <c r="R96" s="51" t="str">
        <f aca="false">IF(OR(I96="",L96="",M96="",N96="",O96=""),"",IF(F96="Long",(L96-I96)/N96*O96*M96,IF(F96="Short",(I96-L96)/N96*O96*M96,"")))</f>
        <v/>
      </c>
      <c r="S96" s="51" t="str">
        <f aca="false">IF(R96="","",R96-P96-Q96)</f>
        <v/>
      </c>
      <c r="T96" s="51" t="str">
        <f aca="false">IF(OR(I96="",J96="",M96="",N96="",O96=""),"",ABS(I96-J96)/N96*O96*M96+P96+Q96)</f>
        <v/>
      </c>
      <c r="U96" s="52" t="str">
        <f aca="false">IF(OR(S96="",T96="",T96=0),"",S96/T96)</f>
        <v/>
      </c>
      <c r="V96" s="50"/>
      <c r="W96" s="50"/>
      <c r="X96" s="44"/>
      <c r="Y96" s="44"/>
      <c r="Z96" s="44"/>
      <c r="AA96" s="44"/>
      <c r="AB96" s="52" t="str">
        <f aca="false">IF(OR(B96="",X96&lt;&gt;"Yes"),"",SUMIFS($U$6:U96,$X$6:X96,"Yes"))</f>
        <v/>
      </c>
      <c r="AC96" s="52" t="str">
        <f aca="false">IF(AB96="","",MAX($AB$6:AB96))</f>
        <v/>
      </c>
      <c r="AD96" s="52" t="str">
        <f aca="false">IF(AB96="","",AB96-AC96)</f>
        <v/>
      </c>
    </row>
    <row r="97" customFormat="false" ht="15" hidden="false" customHeight="false" outlineLevel="0" collapsed="false">
      <c r="A97" s="44"/>
      <c r="B97" s="45"/>
      <c r="C97" s="44"/>
      <c r="D97" s="44"/>
      <c r="E97" s="44"/>
      <c r="F97" s="44"/>
      <c r="G97" s="44"/>
      <c r="H97" s="44"/>
      <c r="I97" s="47"/>
      <c r="J97" s="47"/>
      <c r="K97" s="47"/>
      <c r="L97" s="47"/>
      <c r="M97" s="48"/>
      <c r="N97" s="49" t="str">
        <f aca="false">IF(C97="","",IFERROR(VLOOKUP(C97,Lists!$A$5:$C$8,2,FALSE()),""))</f>
        <v/>
      </c>
      <c r="O97" s="49" t="str">
        <f aca="false">IF(C97="","",IFERROR(VLOOKUP(C97,Lists!$A$5:$C$8,3,FALSE()),""))</f>
        <v/>
      </c>
      <c r="P97" s="50"/>
      <c r="Q97" s="50"/>
      <c r="R97" s="51" t="str">
        <f aca="false">IF(OR(I97="",L97="",M97="",N97="",O97=""),"",IF(F97="Long",(L97-I97)/N97*O97*M97,IF(F97="Short",(I97-L97)/N97*O97*M97,"")))</f>
        <v/>
      </c>
      <c r="S97" s="51" t="str">
        <f aca="false">IF(R97="","",R97-P97-Q97)</f>
        <v/>
      </c>
      <c r="T97" s="51" t="str">
        <f aca="false">IF(OR(I97="",J97="",M97="",N97="",O97=""),"",ABS(I97-J97)/N97*O97*M97+P97+Q97)</f>
        <v/>
      </c>
      <c r="U97" s="52" t="str">
        <f aca="false">IF(OR(S97="",T97="",T97=0),"",S97/T97)</f>
        <v/>
      </c>
      <c r="V97" s="50"/>
      <c r="W97" s="50"/>
      <c r="X97" s="44"/>
      <c r="Y97" s="44"/>
      <c r="Z97" s="44"/>
      <c r="AA97" s="44"/>
      <c r="AB97" s="52" t="str">
        <f aca="false">IF(OR(B97="",X97&lt;&gt;"Yes"),"",SUMIFS($U$6:U97,$X$6:X97,"Yes"))</f>
        <v/>
      </c>
      <c r="AC97" s="52" t="str">
        <f aca="false">IF(AB97="","",MAX($AB$6:AB97))</f>
        <v/>
      </c>
      <c r="AD97" s="52" t="str">
        <f aca="false">IF(AB97="","",AB97-AC97)</f>
        <v/>
      </c>
    </row>
    <row r="98" customFormat="false" ht="15" hidden="false" customHeight="false" outlineLevel="0" collapsed="false">
      <c r="A98" s="44"/>
      <c r="B98" s="45"/>
      <c r="C98" s="44"/>
      <c r="D98" s="44"/>
      <c r="E98" s="44"/>
      <c r="F98" s="44"/>
      <c r="G98" s="44"/>
      <c r="H98" s="44"/>
      <c r="I98" s="47"/>
      <c r="J98" s="47"/>
      <c r="K98" s="47"/>
      <c r="L98" s="47"/>
      <c r="M98" s="48"/>
      <c r="N98" s="49" t="str">
        <f aca="false">IF(C98="","",IFERROR(VLOOKUP(C98,Lists!$A$5:$C$8,2,FALSE()),""))</f>
        <v/>
      </c>
      <c r="O98" s="49" t="str">
        <f aca="false">IF(C98="","",IFERROR(VLOOKUP(C98,Lists!$A$5:$C$8,3,FALSE()),""))</f>
        <v/>
      </c>
      <c r="P98" s="50"/>
      <c r="Q98" s="50"/>
      <c r="R98" s="51" t="str">
        <f aca="false">IF(OR(I98="",L98="",M98="",N98="",O98=""),"",IF(F98="Long",(L98-I98)/N98*O98*M98,IF(F98="Short",(I98-L98)/N98*O98*M98,"")))</f>
        <v/>
      </c>
      <c r="S98" s="51" t="str">
        <f aca="false">IF(R98="","",R98-P98-Q98)</f>
        <v/>
      </c>
      <c r="T98" s="51" t="str">
        <f aca="false">IF(OR(I98="",J98="",M98="",N98="",O98=""),"",ABS(I98-J98)/N98*O98*M98+P98+Q98)</f>
        <v/>
      </c>
      <c r="U98" s="52" t="str">
        <f aca="false">IF(OR(S98="",T98="",T98=0),"",S98/T98)</f>
        <v/>
      </c>
      <c r="V98" s="50"/>
      <c r="W98" s="50"/>
      <c r="X98" s="44"/>
      <c r="Y98" s="44"/>
      <c r="Z98" s="44"/>
      <c r="AA98" s="44"/>
      <c r="AB98" s="52" t="str">
        <f aca="false">IF(OR(B98="",X98&lt;&gt;"Yes"),"",SUMIFS($U$6:U98,$X$6:X98,"Yes"))</f>
        <v/>
      </c>
      <c r="AC98" s="52" t="str">
        <f aca="false">IF(AB98="","",MAX($AB$6:AB98))</f>
        <v/>
      </c>
      <c r="AD98" s="52" t="str">
        <f aca="false">IF(AB98="","",AB98-AC98)</f>
        <v/>
      </c>
    </row>
    <row r="99" customFormat="false" ht="15" hidden="false" customHeight="false" outlineLevel="0" collapsed="false">
      <c r="A99" s="44"/>
      <c r="B99" s="45"/>
      <c r="C99" s="44"/>
      <c r="D99" s="44"/>
      <c r="E99" s="44"/>
      <c r="F99" s="44"/>
      <c r="G99" s="44"/>
      <c r="H99" s="44"/>
      <c r="I99" s="47"/>
      <c r="J99" s="47"/>
      <c r="K99" s="47"/>
      <c r="L99" s="47"/>
      <c r="M99" s="48"/>
      <c r="N99" s="49" t="str">
        <f aca="false">IF(C99="","",IFERROR(VLOOKUP(C99,Lists!$A$5:$C$8,2,FALSE()),""))</f>
        <v/>
      </c>
      <c r="O99" s="49" t="str">
        <f aca="false">IF(C99="","",IFERROR(VLOOKUP(C99,Lists!$A$5:$C$8,3,FALSE()),""))</f>
        <v/>
      </c>
      <c r="P99" s="50"/>
      <c r="Q99" s="50"/>
      <c r="R99" s="51" t="str">
        <f aca="false">IF(OR(I99="",L99="",M99="",N99="",O99=""),"",IF(F99="Long",(L99-I99)/N99*O99*M99,IF(F99="Short",(I99-L99)/N99*O99*M99,"")))</f>
        <v/>
      </c>
      <c r="S99" s="51" t="str">
        <f aca="false">IF(R99="","",R99-P99-Q99)</f>
        <v/>
      </c>
      <c r="T99" s="51" t="str">
        <f aca="false">IF(OR(I99="",J99="",M99="",N99="",O99=""),"",ABS(I99-J99)/N99*O99*M99+P99+Q99)</f>
        <v/>
      </c>
      <c r="U99" s="52" t="str">
        <f aca="false">IF(OR(S99="",T99="",T99=0),"",S99/T99)</f>
        <v/>
      </c>
      <c r="V99" s="50"/>
      <c r="W99" s="50"/>
      <c r="X99" s="44"/>
      <c r="Y99" s="44"/>
      <c r="Z99" s="44"/>
      <c r="AA99" s="44"/>
      <c r="AB99" s="52" t="str">
        <f aca="false">IF(OR(B99="",X99&lt;&gt;"Yes"),"",SUMIFS($U$6:U99,$X$6:X99,"Yes"))</f>
        <v/>
      </c>
      <c r="AC99" s="52" t="str">
        <f aca="false">IF(AB99="","",MAX($AB$6:AB99))</f>
        <v/>
      </c>
      <c r="AD99" s="52" t="str">
        <f aca="false">IF(AB99="","",AB99-AC99)</f>
        <v/>
      </c>
    </row>
    <row r="100" customFormat="false" ht="15" hidden="false" customHeight="false" outlineLevel="0" collapsed="false">
      <c r="A100" s="44"/>
      <c r="B100" s="45"/>
      <c r="C100" s="44"/>
      <c r="D100" s="44"/>
      <c r="E100" s="44"/>
      <c r="F100" s="44"/>
      <c r="G100" s="44"/>
      <c r="H100" s="44"/>
      <c r="I100" s="47"/>
      <c r="J100" s="47"/>
      <c r="K100" s="47"/>
      <c r="L100" s="47"/>
      <c r="M100" s="48"/>
      <c r="N100" s="49" t="str">
        <f aca="false">IF(C100="","",IFERROR(VLOOKUP(C100,Lists!$A$5:$C$8,2,FALSE()),""))</f>
        <v/>
      </c>
      <c r="O100" s="49" t="str">
        <f aca="false">IF(C100="","",IFERROR(VLOOKUP(C100,Lists!$A$5:$C$8,3,FALSE()),""))</f>
        <v/>
      </c>
      <c r="P100" s="50"/>
      <c r="Q100" s="50"/>
      <c r="R100" s="51" t="str">
        <f aca="false">IF(OR(I100="",L100="",M100="",N100="",O100=""),"",IF(F100="Long",(L100-I100)/N100*O100*M100,IF(F100="Short",(I100-L100)/N100*O100*M100,"")))</f>
        <v/>
      </c>
      <c r="S100" s="51" t="str">
        <f aca="false">IF(R100="","",R100-P100-Q100)</f>
        <v/>
      </c>
      <c r="T100" s="51" t="str">
        <f aca="false">IF(OR(I100="",J100="",M100="",N100="",O100=""),"",ABS(I100-J100)/N100*O100*M100+P100+Q100)</f>
        <v/>
      </c>
      <c r="U100" s="52" t="str">
        <f aca="false">IF(OR(S100="",T100="",T100=0),"",S100/T100)</f>
        <v/>
      </c>
      <c r="V100" s="50"/>
      <c r="W100" s="50"/>
      <c r="X100" s="44"/>
      <c r="Y100" s="44"/>
      <c r="Z100" s="44"/>
      <c r="AA100" s="44"/>
      <c r="AB100" s="52" t="str">
        <f aca="false">IF(OR(B100="",X100&lt;&gt;"Yes"),"",SUMIFS($U$6:U100,$X$6:X100,"Yes"))</f>
        <v/>
      </c>
      <c r="AC100" s="52" t="str">
        <f aca="false">IF(AB100="","",MAX($AB$6:AB100))</f>
        <v/>
      </c>
      <c r="AD100" s="52" t="str">
        <f aca="false">IF(AB100="","",AB100-AC100)</f>
        <v/>
      </c>
    </row>
    <row r="101" customFormat="false" ht="15" hidden="false" customHeight="false" outlineLevel="0" collapsed="false">
      <c r="A101" s="44"/>
      <c r="B101" s="45"/>
      <c r="C101" s="44"/>
      <c r="D101" s="44"/>
      <c r="E101" s="44"/>
      <c r="F101" s="44"/>
      <c r="G101" s="44"/>
      <c r="H101" s="44"/>
      <c r="I101" s="47"/>
      <c r="J101" s="47"/>
      <c r="K101" s="47"/>
      <c r="L101" s="47"/>
      <c r="M101" s="48"/>
      <c r="N101" s="49" t="str">
        <f aca="false">IF(C101="","",IFERROR(VLOOKUP(C101,Lists!$A$5:$C$8,2,FALSE()),""))</f>
        <v/>
      </c>
      <c r="O101" s="49" t="str">
        <f aca="false">IF(C101="","",IFERROR(VLOOKUP(C101,Lists!$A$5:$C$8,3,FALSE()),""))</f>
        <v/>
      </c>
      <c r="P101" s="50"/>
      <c r="Q101" s="50"/>
      <c r="R101" s="51" t="str">
        <f aca="false">IF(OR(I101="",L101="",M101="",N101="",O101=""),"",IF(F101="Long",(L101-I101)/N101*O101*M101,IF(F101="Short",(I101-L101)/N101*O101*M101,"")))</f>
        <v/>
      </c>
      <c r="S101" s="51" t="str">
        <f aca="false">IF(R101="","",R101-P101-Q101)</f>
        <v/>
      </c>
      <c r="T101" s="51" t="str">
        <f aca="false">IF(OR(I101="",J101="",M101="",N101="",O101=""),"",ABS(I101-J101)/N101*O101*M101+P101+Q101)</f>
        <v/>
      </c>
      <c r="U101" s="52" t="str">
        <f aca="false">IF(OR(S101="",T101="",T101=0),"",S101/T101)</f>
        <v/>
      </c>
      <c r="V101" s="50"/>
      <c r="W101" s="50"/>
      <c r="X101" s="44"/>
      <c r="Y101" s="44"/>
      <c r="Z101" s="44"/>
      <c r="AA101" s="44"/>
      <c r="AB101" s="52" t="str">
        <f aca="false">IF(OR(B101="",X101&lt;&gt;"Yes"),"",SUMIFS($U$6:U101,$X$6:X101,"Yes"))</f>
        <v/>
      </c>
      <c r="AC101" s="52" t="str">
        <f aca="false">IF(AB101="","",MAX($AB$6:AB101))</f>
        <v/>
      </c>
      <c r="AD101" s="52" t="str">
        <f aca="false">IF(AB101="","",AB101-AC101)</f>
        <v/>
      </c>
    </row>
    <row r="102" customFormat="false" ht="15" hidden="false" customHeight="false" outlineLevel="0" collapsed="false">
      <c r="A102" s="44"/>
      <c r="B102" s="45"/>
      <c r="C102" s="44"/>
      <c r="D102" s="44"/>
      <c r="E102" s="44"/>
      <c r="F102" s="44"/>
      <c r="G102" s="44"/>
      <c r="H102" s="44"/>
      <c r="I102" s="47"/>
      <c r="J102" s="47"/>
      <c r="K102" s="47"/>
      <c r="L102" s="47"/>
      <c r="M102" s="48"/>
      <c r="N102" s="49" t="str">
        <f aca="false">IF(C102="","",IFERROR(VLOOKUP(C102,Lists!$A$5:$C$8,2,FALSE()),""))</f>
        <v/>
      </c>
      <c r="O102" s="49" t="str">
        <f aca="false">IF(C102="","",IFERROR(VLOOKUP(C102,Lists!$A$5:$C$8,3,FALSE()),""))</f>
        <v/>
      </c>
      <c r="P102" s="50"/>
      <c r="Q102" s="50"/>
      <c r="R102" s="51" t="str">
        <f aca="false">IF(OR(I102="",L102="",M102="",N102="",O102=""),"",IF(F102="Long",(L102-I102)/N102*O102*M102,IF(F102="Short",(I102-L102)/N102*O102*M102,"")))</f>
        <v/>
      </c>
      <c r="S102" s="51" t="str">
        <f aca="false">IF(R102="","",R102-P102-Q102)</f>
        <v/>
      </c>
      <c r="T102" s="51" t="str">
        <f aca="false">IF(OR(I102="",J102="",M102="",N102="",O102=""),"",ABS(I102-J102)/N102*O102*M102+P102+Q102)</f>
        <v/>
      </c>
      <c r="U102" s="52" t="str">
        <f aca="false">IF(OR(S102="",T102="",T102=0),"",S102/T102)</f>
        <v/>
      </c>
      <c r="V102" s="50"/>
      <c r="W102" s="50"/>
      <c r="X102" s="44"/>
      <c r="Y102" s="44"/>
      <c r="Z102" s="44"/>
      <c r="AA102" s="44"/>
      <c r="AB102" s="52" t="str">
        <f aca="false">IF(OR(B102="",X102&lt;&gt;"Yes"),"",SUMIFS($U$6:U102,$X$6:X102,"Yes"))</f>
        <v/>
      </c>
      <c r="AC102" s="52" t="str">
        <f aca="false">IF(AB102="","",MAX($AB$6:AB102))</f>
        <v/>
      </c>
      <c r="AD102" s="52" t="str">
        <f aca="false">IF(AB102="","",AB102-AC102)</f>
        <v/>
      </c>
    </row>
    <row r="103" customFormat="false" ht="15" hidden="false" customHeight="false" outlineLevel="0" collapsed="false">
      <c r="A103" s="44"/>
      <c r="B103" s="45"/>
      <c r="C103" s="44"/>
      <c r="D103" s="44"/>
      <c r="E103" s="44"/>
      <c r="F103" s="44"/>
      <c r="G103" s="44"/>
      <c r="H103" s="44"/>
      <c r="I103" s="47"/>
      <c r="J103" s="47"/>
      <c r="K103" s="47"/>
      <c r="L103" s="47"/>
      <c r="M103" s="48"/>
      <c r="N103" s="49" t="str">
        <f aca="false">IF(C103="","",IFERROR(VLOOKUP(C103,Lists!$A$5:$C$8,2,FALSE()),""))</f>
        <v/>
      </c>
      <c r="O103" s="49" t="str">
        <f aca="false">IF(C103="","",IFERROR(VLOOKUP(C103,Lists!$A$5:$C$8,3,FALSE()),""))</f>
        <v/>
      </c>
      <c r="P103" s="50"/>
      <c r="Q103" s="50"/>
      <c r="R103" s="51" t="str">
        <f aca="false">IF(OR(I103="",L103="",M103="",N103="",O103=""),"",IF(F103="Long",(L103-I103)/N103*O103*M103,IF(F103="Short",(I103-L103)/N103*O103*M103,"")))</f>
        <v/>
      </c>
      <c r="S103" s="51" t="str">
        <f aca="false">IF(R103="","",R103-P103-Q103)</f>
        <v/>
      </c>
      <c r="T103" s="51" t="str">
        <f aca="false">IF(OR(I103="",J103="",M103="",N103="",O103=""),"",ABS(I103-J103)/N103*O103*M103+P103+Q103)</f>
        <v/>
      </c>
      <c r="U103" s="52" t="str">
        <f aca="false">IF(OR(S103="",T103="",T103=0),"",S103/T103)</f>
        <v/>
      </c>
      <c r="V103" s="50"/>
      <c r="W103" s="50"/>
      <c r="X103" s="44"/>
      <c r="Y103" s="44"/>
      <c r="Z103" s="44"/>
      <c r="AA103" s="44"/>
      <c r="AB103" s="52" t="str">
        <f aca="false">IF(OR(B103="",X103&lt;&gt;"Yes"),"",SUMIFS($U$6:U103,$X$6:X103,"Yes"))</f>
        <v/>
      </c>
      <c r="AC103" s="52" t="str">
        <f aca="false">IF(AB103="","",MAX($AB$6:AB103))</f>
        <v/>
      </c>
      <c r="AD103" s="52" t="str">
        <f aca="false">IF(AB103="","",AB103-AC103)</f>
        <v/>
      </c>
    </row>
    <row r="104" customFormat="false" ht="15" hidden="false" customHeight="false" outlineLevel="0" collapsed="false">
      <c r="A104" s="44"/>
      <c r="B104" s="45"/>
      <c r="C104" s="44"/>
      <c r="D104" s="44"/>
      <c r="E104" s="44"/>
      <c r="F104" s="44"/>
      <c r="G104" s="44"/>
      <c r="H104" s="44"/>
      <c r="I104" s="47"/>
      <c r="J104" s="47"/>
      <c r="K104" s="47"/>
      <c r="L104" s="47"/>
      <c r="M104" s="48"/>
      <c r="N104" s="49" t="str">
        <f aca="false">IF(C104="","",IFERROR(VLOOKUP(C104,Lists!$A$5:$C$8,2,FALSE()),""))</f>
        <v/>
      </c>
      <c r="O104" s="49" t="str">
        <f aca="false">IF(C104="","",IFERROR(VLOOKUP(C104,Lists!$A$5:$C$8,3,FALSE()),""))</f>
        <v/>
      </c>
      <c r="P104" s="50"/>
      <c r="Q104" s="50"/>
      <c r="R104" s="51" t="str">
        <f aca="false">IF(OR(I104="",L104="",M104="",N104="",O104=""),"",IF(F104="Long",(L104-I104)/N104*O104*M104,IF(F104="Short",(I104-L104)/N104*O104*M104,"")))</f>
        <v/>
      </c>
      <c r="S104" s="51" t="str">
        <f aca="false">IF(R104="","",R104-P104-Q104)</f>
        <v/>
      </c>
      <c r="T104" s="51" t="str">
        <f aca="false">IF(OR(I104="",J104="",M104="",N104="",O104=""),"",ABS(I104-J104)/N104*O104*M104+P104+Q104)</f>
        <v/>
      </c>
      <c r="U104" s="52" t="str">
        <f aca="false">IF(OR(S104="",T104="",T104=0),"",S104/T104)</f>
        <v/>
      </c>
      <c r="V104" s="50"/>
      <c r="W104" s="50"/>
      <c r="X104" s="44"/>
      <c r="Y104" s="44"/>
      <c r="Z104" s="44"/>
      <c r="AA104" s="44"/>
      <c r="AB104" s="52" t="str">
        <f aca="false">IF(OR(B104="",X104&lt;&gt;"Yes"),"",SUMIFS($U$6:U104,$X$6:X104,"Yes"))</f>
        <v/>
      </c>
      <c r="AC104" s="52" t="str">
        <f aca="false">IF(AB104="","",MAX($AB$6:AB104))</f>
        <v/>
      </c>
      <c r="AD104" s="52" t="str">
        <f aca="false">IF(AB104="","",AB104-AC104)</f>
        <v/>
      </c>
    </row>
    <row r="105" customFormat="false" ht="15" hidden="false" customHeight="false" outlineLevel="0" collapsed="false">
      <c r="A105" s="44"/>
      <c r="B105" s="45"/>
      <c r="C105" s="44"/>
      <c r="D105" s="44"/>
      <c r="E105" s="44"/>
      <c r="F105" s="44"/>
      <c r="G105" s="44"/>
      <c r="H105" s="44"/>
      <c r="I105" s="47"/>
      <c r="J105" s="47"/>
      <c r="K105" s="47"/>
      <c r="L105" s="47"/>
      <c r="M105" s="48"/>
      <c r="N105" s="49" t="str">
        <f aca="false">IF(C105="","",IFERROR(VLOOKUP(C105,Lists!$A$5:$C$8,2,FALSE()),""))</f>
        <v/>
      </c>
      <c r="O105" s="49" t="str">
        <f aca="false">IF(C105="","",IFERROR(VLOOKUP(C105,Lists!$A$5:$C$8,3,FALSE()),""))</f>
        <v/>
      </c>
      <c r="P105" s="50"/>
      <c r="Q105" s="50"/>
      <c r="R105" s="51" t="str">
        <f aca="false">IF(OR(I105="",L105="",M105="",N105="",O105=""),"",IF(F105="Long",(L105-I105)/N105*O105*M105,IF(F105="Short",(I105-L105)/N105*O105*M105,"")))</f>
        <v/>
      </c>
      <c r="S105" s="51" t="str">
        <f aca="false">IF(R105="","",R105-P105-Q105)</f>
        <v/>
      </c>
      <c r="T105" s="51" t="str">
        <f aca="false">IF(OR(I105="",J105="",M105="",N105="",O105=""),"",ABS(I105-J105)/N105*O105*M105+P105+Q105)</f>
        <v/>
      </c>
      <c r="U105" s="52" t="str">
        <f aca="false">IF(OR(S105="",T105="",T105=0),"",S105/T105)</f>
        <v/>
      </c>
      <c r="V105" s="50"/>
      <c r="W105" s="50"/>
      <c r="X105" s="44"/>
      <c r="Y105" s="44"/>
      <c r="Z105" s="44"/>
      <c r="AA105" s="44"/>
      <c r="AB105" s="52" t="str">
        <f aca="false">IF(OR(B105="",X105&lt;&gt;"Yes"),"",SUMIFS($U$6:U105,$X$6:X105,"Yes"))</f>
        <v/>
      </c>
      <c r="AC105" s="52" t="str">
        <f aca="false">IF(AB105="","",MAX($AB$6:AB105))</f>
        <v/>
      </c>
      <c r="AD105" s="52" t="str">
        <f aca="false">IF(AB105="","",AB105-AC105)</f>
        <v/>
      </c>
    </row>
    <row r="106" customFormat="false" ht="15" hidden="false" customHeight="false" outlineLevel="0" collapsed="false">
      <c r="A106" s="44"/>
      <c r="B106" s="45"/>
      <c r="C106" s="44"/>
      <c r="D106" s="44"/>
      <c r="E106" s="44"/>
      <c r="F106" s="44"/>
      <c r="G106" s="44"/>
      <c r="H106" s="44"/>
      <c r="I106" s="47"/>
      <c r="J106" s="47"/>
      <c r="K106" s="47"/>
      <c r="L106" s="47"/>
      <c r="M106" s="48"/>
      <c r="N106" s="49" t="str">
        <f aca="false">IF(C106="","",IFERROR(VLOOKUP(C106,Lists!$A$5:$C$8,2,FALSE()),""))</f>
        <v/>
      </c>
      <c r="O106" s="49" t="str">
        <f aca="false">IF(C106="","",IFERROR(VLOOKUP(C106,Lists!$A$5:$C$8,3,FALSE()),""))</f>
        <v/>
      </c>
      <c r="P106" s="50"/>
      <c r="Q106" s="50"/>
      <c r="R106" s="51" t="str">
        <f aca="false">IF(OR(I106="",L106="",M106="",N106="",O106=""),"",IF(F106="Long",(L106-I106)/N106*O106*M106,IF(F106="Short",(I106-L106)/N106*O106*M106,"")))</f>
        <v/>
      </c>
      <c r="S106" s="51" t="str">
        <f aca="false">IF(R106="","",R106-P106-Q106)</f>
        <v/>
      </c>
      <c r="T106" s="51" t="str">
        <f aca="false">IF(OR(I106="",J106="",M106="",N106="",O106=""),"",ABS(I106-J106)/N106*O106*M106+P106+Q106)</f>
        <v/>
      </c>
      <c r="U106" s="52" t="str">
        <f aca="false">IF(OR(S106="",T106="",T106=0),"",S106/T106)</f>
        <v/>
      </c>
      <c r="V106" s="50"/>
      <c r="W106" s="50"/>
      <c r="X106" s="44"/>
      <c r="Y106" s="44"/>
      <c r="Z106" s="44"/>
      <c r="AA106" s="44"/>
      <c r="AB106" s="52" t="str">
        <f aca="false">IF(OR(B106="",X106&lt;&gt;"Yes"),"",SUMIFS($U$6:U106,$X$6:X106,"Yes"))</f>
        <v/>
      </c>
      <c r="AC106" s="52" t="str">
        <f aca="false">IF(AB106="","",MAX($AB$6:AB106))</f>
        <v/>
      </c>
      <c r="AD106" s="52" t="str">
        <f aca="false">IF(AB106="","",AB106-AC106)</f>
        <v/>
      </c>
    </row>
    <row r="107" customFormat="false" ht="15" hidden="false" customHeight="false" outlineLevel="0" collapsed="false">
      <c r="A107" s="44"/>
      <c r="B107" s="45"/>
      <c r="C107" s="44"/>
      <c r="D107" s="44"/>
      <c r="E107" s="44"/>
      <c r="F107" s="44"/>
      <c r="G107" s="44"/>
      <c r="H107" s="44"/>
      <c r="I107" s="47"/>
      <c r="J107" s="47"/>
      <c r="K107" s="47"/>
      <c r="L107" s="47"/>
      <c r="M107" s="48"/>
      <c r="N107" s="49" t="str">
        <f aca="false">IF(C107="","",IFERROR(VLOOKUP(C107,Lists!$A$5:$C$8,2,FALSE()),""))</f>
        <v/>
      </c>
      <c r="O107" s="49" t="str">
        <f aca="false">IF(C107="","",IFERROR(VLOOKUP(C107,Lists!$A$5:$C$8,3,FALSE()),""))</f>
        <v/>
      </c>
      <c r="P107" s="50"/>
      <c r="Q107" s="50"/>
      <c r="R107" s="51" t="str">
        <f aca="false">IF(OR(I107="",L107="",M107="",N107="",O107=""),"",IF(F107="Long",(L107-I107)/N107*O107*M107,IF(F107="Short",(I107-L107)/N107*O107*M107,"")))</f>
        <v/>
      </c>
      <c r="S107" s="51" t="str">
        <f aca="false">IF(R107="","",R107-P107-Q107)</f>
        <v/>
      </c>
      <c r="T107" s="51" t="str">
        <f aca="false">IF(OR(I107="",J107="",M107="",N107="",O107=""),"",ABS(I107-J107)/N107*O107*M107+P107+Q107)</f>
        <v/>
      </c>
      <c r="U107" s="52" t="str">
        <f aca="false">IF(OR(S107="",T107="",T107=0),"",S107/T107)</f>
        <v/>
      </c>
      <c r="V107" s="50"/>
      <c r="W107" s="50"/>
      <c r="X107" s="44"/>
      <c r="Y107" s="44"/>
      <c r="Z107" s="44"/>
      <c r="AA107" s="44"/>
      <c r="AB107" s="52" t="str">
        <f aca="false">IF(OR(B107="",X107&lt;&gt;"Yes"),"",SUMIFS($U$6:U107,$X$6:X107,"Yes"))</f>
        <v/>
      </c>
      <c r="AC107" s="52" t="str">
        <f aca="false">IF(AB107="","",MAX($AB$6:AB107))</f>
        <v/>
      </c>
      <c r="AD107" s="52" t="str">
        <f aca="false">IF(AB107="","",AB107-AC107)</f>
        <v/>
      </c>
    </row>
    <row r="108" customFormat="false" ht="15" hidden="false" customHeight="false" outlineLevel="0" collapsed="false">
      <c r="A108" s="44"/>
      <c r="B108" s="45"/>
      <c r="C108" s="44"/>
      <c r="D108" s="44"/>
      <c r="E108" s="44"/>
      <c r="F108" s="44"/>
      <c r="G108" s="44"/>
      <c r="H108" s="44"/>
      <c r="I108" s="47"/>
      <c r="J108" s="47"/>
      <c r="K108" s="47"/>
      <c r="L108" s="47"/>
      <c r="M108" s="48"/>
      <c r="N108" s="49" t="str">
        <f aca="false">IF(C108="","",IFERROR(VLOOKUP(C108,Lists!$A$5:$C$8,2,FALSE()),""))</f>
        <v/>
      </c>
      <c r="O108" s="49" t="str">
        <f aca="false">IF(C108="","",IFERROR(VLOOKUP(C108,Lists!$A$5:$C$8,3,FALSE()),""))</f>
        <v/>
      </c>
      <c r="P108" s="50"/>
      <c r="Q108" s="50"/>
      <c r="R108" s="51" t="str">
        <f aca="false">IF(OR(I108="",L108="",M108="",N108="",O108=""),"",IF(F108="Long",(L108-I108)/N108*O108*M108,IF(F108="Short",(I108-L108)/N108*O108*M108,"")))</f>
        <v/>
      </c>
      <c r="S108" s="51" t="str">
        <f aca="false">IF(R108="","",R108-P108-Q108)</f>
        <v/>
      </c>
      <c r="T108" s="51" t="str">
        <f aca="false">IF(OR(I108="",J108="",M108="",N108="",O108=""),"",ABS(I108-J108)/N108*O108*M108+P108+Q108)</f>
        <v/>
      </c>
      <c r="U108" s="52" t="str">
        <f aca="false">IF(OR(S108="",T108="",T108=0),"",S108/T108)</f>
        <v/>
      </c>
      <c r="V108" s="50"/>
      <c r="W108" s="50"/>
      <c r="X108" s="44"/>
      <c r="Y108" s="44"/>
      <c r="Z108" s="44"/>
      <c r="AA108" s="44"/>
      <c r="AB108" s="52" t="str">
        <f aca="false">IF(OR(B108="",X108&lt;&gt;"Yes"),"",SUMIFS($U$6:U108,$X$6:X108,"Yes"))</f>
        <v/>
      </c>
      <c r="AC108" s="52" t="str">
        <f aca="false">IF(AB108="","",MAX($AB$6:AB108))</f>
        <v/>
      </c>
      <c r="AD108" s="52" t="str">
        <f aca="false">IF(AB108="","",AB108-AC108)</f>
        <v/>
      </c>
    </row>
    <row r="109" customFormat="false" ht="15" hidden="false" customHeight="false" outlineLevel="0" collapsed="false">
      <c r="A109" s="44"/>
      <c r="B109" s="45"/>
      <c r="C109" s="44"/>
      <c r="D109" s="44"/>
      <c r="E109" s="44"/>
      <c r="F109" s="44"/>
      <c r="G109" s="44"/>
      <c r="H109" s="44"/>
      <c r="I109" s="47"/>
      <c r="J109" s="47"/>
      <c r="K109" s="47"/>
      <c r="L109" s="47"/>
      <c r="M109" s="48"/>
      <c r="N109" s="49" t="str">
        <f aca="false">IF(C109="","",IFERROR(VLOOKUP(C109,Lists!$A$5:$C$8,2,FALSE()),""))</f>
        <v/>
      </c>
      <c r="O109" s="49" t="str">
        <f aca="false">IF(C109="","",IFERROR(VLOOKUP(C109,Lists!$A$5:$C$8,3,FALSE()),""))</f>
        <v/>
      </c>
      <c r="P109" s="50"/>
      <c r="Q109" s="50"/>
      <c r="R109" s="51" t="str">
        <f aca="false">IF(OR(I109="",L109="",M109="",N109="",O109=""),"",IF(F109="Long",(L109-I109)/N109*O109*M109,IF(F109="Short",(I109-L109)/N109*O109*M109,"")))</f>
        <v/>
      </c>
      <c r="S109" s="51" t="str">
        <f aca="false">IF(R109="","",R109-P109-Q109)</f>
        <v/>
      </c>
      <c r="T109" s="51" t="str">
        <f aca="false">IF(OR(I109="",J109="",M109="",N109="",O109=""),"",ABS(I109-J109)/N109*O109*M109+P109+Q109)</f>
        <v/>
      </c>
      <c r="U109" s="52" t="str">
        <f aca="false">IF(OR(S109="",T109="",T109=0),"",S109/T109)</f>
        <v/>
      </c>
      <c r="V109" s="50"/>
      <c r="W109" s="50"/>
      <c r="X109" s="44"/>
      <c r="Y109" s="44"/>
      <c r="Z109" s="44"/>
      <c r="AA109" s="44"/>
      <c r="AB109" s="52" t="str">
        <f aca="false">IF(OR(B109="",X109&lt;&gt;"Yes"),"",SUMIFS($U$6:U109,$X$6:X109,"Yes"))</f>
        <v/>
      </c>
      <c r="AC109" s="52" t="str">
        <f aca="false">IF(AB109="","",MAX($AB$6:AB109))</f>
        <v/>
      </c>
      <c r="AD109" s="52" t="str">
        <f aca="false">IF(AB109="","",AB109-AC109)</f>
        <v/>
      </c>
    </row>
    <row r="110" customFormat="false" ht="15" hidden="false" customHeight="false" outlineLevel="0" collapsed="false">
      <c r="A110" s="44"/>
      <c r="B110" s="45"/>
      <c r="C110" s="44"/>
      <c r="D110" s="44"/>
      <c r="E110" s="44"/>
      <c r="F110" s="44"/>
      <c r="G110" s="44"/>
      <c r="H110" s="44"/>
      <c r="I110" s="47"/>
      <c r="J110" s="47"/>
      <c r="K110" s="47"/>
      <c r="L110" s="47"/>
      <c r="M110" s="48"/>
      <c r="N110" s="49" t="str">
        <f aca="false">IF(C110="","",IFERROR(VLOOKUP(C110,Lists!$A$5:$C$8,2,FALSE()),""))</f>
        <v/>
      </c>
      <c r="O110" s="49" t="str">
        <f aca="false">IF(C110="","",IFERROR(VLOOKUP(C110,Lists!$A$5:$C$8,3,FALSE()),""))</f>
        <v/>
      </c>
      <c r="P110" s="50"/>
      <c r="Q110" s="50"/>
      <c r="R110" s="51" t="str">
        <f aca="false">IF(OR(I110="",L110="",M110="",N110="",O110=""),"",IF(F110="Long",(L110-I110)/N110*O110*M110,IF(F110="Short",(I110-L110)/N110*O110*M110,"")))</f>
        <v/>
      </c>
      <c r="S110" s="51" t="str">
        <f aca="false">IF(R110="","",R110-P110-Q110)</f>
        <v/>
      </c>
      <c r="T110" s="51" t="str">
        <f aca="false">IF(OR(I110="",J110="",M110="",N110="",O110=""),"",ABS(I110-J110)/N110*O110*M110+P110+Q110)</f>
        <v/>
      </c>
      <c r="U110" s="52" t="str">
        <f aca="false">IF(OR(S110="",T110="",T110=0),"",S110/T110)</f>
        <v/>
      </c>
      <c r="V110" s="50"/>
      <c r="W110" s="50"/>
      <c r="X110" s="44"/>
      <c r="Y110" s="44"/>
      <c r="Z110" s="44"/>
      <c r="AA110" s="44"/>
      <c r="AB110" s="52" t="str">
        <f aca="false">IF(OR(B110="",X110&lt;&gt;"Yes"),"",SUMIFS($U$6:U110,$X$6:X110,"Yes"))</f>
        <v/>
      </c>
      <c r="AC110" s="52" t="str">
        <f aca="false">IF(AB110="","",MAX($AB$6:AB110))</f>
        <v/>
      </c>
      <c r="AD110" s="52" t="str">
        <f aca="false">IF(AB110="","",AB110-AC110)</f>
        <v/>
      </c>
    </row>
    <row r="111" customFormat="false" ht="15" hidden="false" customHeight="false" outlineLevel="0" collapsed="false">
      <c r="A111" s="44"/>
      <c r="B111" s="45"/>
      <c r="C111" s="44"/>
      <c r="D111" s="44"/>
      <c r="E111" s="44"/>
      <c r="F111" s="44"/>
      <c r="G111" s="44"/>
      <c r="H111" s="44"/>
      <c r="I111" s="47"/>
      <c r="J111" s="47"/>
      <c r="K111" s="47"/>
      <c r="L111" s="47"/>
      <c r="M111" s="48"/>
      <c r="N111" s="49" t="str">
        <f aca="false">IF(C111="","",IFERROR(VLOOKUP(C111,Lists!$A$5:$C$8,2,FALSE()),""))</f>
        <v/>
      </c>
      <c r="O111" s="49" t="str">
        <f aca="false">IF(C111="","",IFERROR(VLOOKUP(C111,Lists!$A$5:$C$8,3,FALSE()),""))</f>
        <v/>
      </c>
      <c r="P111" s="50"/>
      <c r="Q111" s="50"/>
      <c r="R111" s="51" t="str">
        <f aca="false">IF(OR(I111="",L111="",M111="",N111="",O111=""),"",IF(F111="Long",(L111-I111)/N111*O111*M111,IF(F111="Short",(I111-L111)/N111*O111*M111,"")))</f>
        <v/>
      </c>
      <c r="S111" s="51" t="str">
        <f aca="false">IF(R111="","",R111-P111-Q111)</f>
        <v/>
      </c>
      <c r="T111" s="51" t="str">
        <f aca="false">IF(OR(I111="",J111="",M111="",N111="",O111=""),"",ABS(I111-J111)/N111*O111*M111+P111+Q111)</f>
        <v/>
      </c>
      <c r="U111" s="52" t="str">
        <f aca="false">IF(OR(S111="",T111="",T111=0),"",S111/T111)</f>
        <v/>
      </c>
      <c r="V111" s="50"/>
      <c r="W111" s="50"/>
      <c r="X111" s="44"/>
      <c r="Y111" s="44"/>
      <c r="Z111" s="44"/>
      <c r="AA111" s="44"/>
      <c r="AB111" s="52" t="str">
        <f aca="false">IF(OR(B111="",X111&lt;&gt;"Yes"),"",SUMIFS($U$6:U111,$X$6:X111,"Yes"))</f>
        <v/>
      </c>
      <c r="AC111" s="52" t="str">
        <f aca="false">IF(AB111="","",MAX($AB$6:AB111))</f>
        <v/>
      </c>
      <c r="AD111" s="52" t="str">
        <f aca="false">IF(AB111="","",AB111-AC111)</f>
        <v/>
      </c>
    </row>
    <row r="112" customFormat="false" ht="15" hidden="false" customHeight="false" outlineLevel="0" collapsed="false">
      <c r="A112" s="44"/>
      <c r="B112" s="45"/>
      <c r="C112" s="44"/>
      <c r="D112" s="44"/>
      <c r="E112" s="44"/>
      <c r="F112" s="44"/>
      <c r="G112" s="44"/>
      <c r="H112" s="44"/>
      <c r="I112" s="47"/>
      <c r="J112" s="47"/>
      <c r="K112" s="47"/>
      <c r="L112" s="47"/>
      <c r="M112" s="48"/>
      <c r="N112" s="49" t="str">
        <f aca="false">IF(C112="","",IFERROR(VLOOKUP(C112,Lists!$A$5:$C$8,2,FALSE()),""))</f>
        <v/>
      </c>
      <c r="O112" s="49" t="str">
        <f aca="false">IF(C112="","",IFERROR(VLOOKUP(C112,Lists!$A$5:$C$8,3,FALSE()),""))</f>
        <v/>
      </c>
      <c r="P112" s="50"/>
      <c r="Q112" s="50"/>
      <c r="R112" s="51" t="str">
        <f aca="false">IF(OR(I112="",L112="",M112="",N112="",O112=""),"",IF(F112="Long",(L112-I112)/N112*O112*M112,IF(F112="Short",(I112-L112)/N112*O112*M112,"")))</f>
        <v/>
      </c>
      <c r="S112" s="51" t="str">
        <f aca="false">IF(R112="","",R112-P112-Q112)</f>
        <v/>
      </c>
      <c r="T112" s="51" t="str">
        <f aca="false">IF(OR(I112="",J112="",M112="",N112="",O112=""),"",ABS(I112-J112)/N112*O112*M112+P112+Q112)</f>
        <v/>
      </c>
      <c r="U112" s="52" t="str">
        <f aca="false">IF(OR(S112="",T112="",T112=0),"",S112/T112)</f>
        <v/>
      </c>
      <c r="V112" s="50"/>
      <c r="W112" s="50"/>
      <c r="X112" s="44"/>
      <c r="Y112" s="44"/>
      <c r="Z112" s="44"/>
      <c r="AA112" s="44"/>
      <c r="AB112" s="52" t="str">
        <f aca="false">IF(OR(B112="",X112&lt;&gt;"Yes"),"",SUMIFS($U$6:U112,$X$6:X112,"Yes"))</f>
        <v/>
      </c>
      <c r="AC112" s="52" t="str">
        <f aca="false">IF(AB112="","",MAX($AB$6:AB112))</f>
        <v/>
      </c>
      <c r="AD112" s="52" t="str">
        <f aca="false">IF(AB112="","",AB112-AC112)</f>
        <v/>
      </c>
    </row>
    <row r="113" customFormat="false" ht="15" hidden="false" customHeight="false" outlineLevel="0" collapsed="false">
      <c r="A113" s="44"/>
      <c r="B113" s="45"/>
      <c r="C113" s="44"/>
      <c r="D113" s="44"/>
      <c r="E113" s="44"/>
      <c r="F113" s="44"/>
      <c r="G113" s="44"/>
      <c r="H113" s="44"/>
      <c r="I113" s="47"/>
      <c r="J113" s="47"/>
      <c r="K113" s="47"/>
      <c r="L113" s="47"/>
      <c r="M113" s="48"/>
      <c r="N113" s="49" t="str">
        <f aca="false">IF(C113="","",IFERROR(VLOOKUP(C113,Lists!$A$5:$C$8,2,FALSE()),""))</f>
        <v/>
      </c>
      <c r="O113" s="49" t="str">
        <f aca="false">IF(C113="","",IFERROR(VLOOKUP(C113,Lists!$A$5:$C$8,3,FALSE()),""))</f>
        <v/>
      </c>
      <c r="P113" s="50"/>
      <c r="Q113" s="50"/>
      <c r="R113" s="51" t="str">
        <f aca="false">IF(OR(I113="",L113="",M113="",N113="",O113=""),"",IF(F113="Long",(L113-I113)/N113*O113*M113,IF(F113="Short",(I113-L113)/N113*O113*M113,"")))</f>
        <v/>
      </c>
      <c r="S113" s="51" t="str">
        <f aca="false">IF(R113="","",R113-P113-Q113)</f>
        <v/>
      </c>
      <c r="T113" s="51" t="str">
        <f aca="false">IF(OR(I113="",J113="",M113="",N113="",O113=""),"",ABS(I113-J113)/N113*O113*M113+P113+Q113)</f>
        <v/>
      </c>
      <c r="U113" s="52" t="str">
        <f aca="false">IF(OR(S113="",T113="",T113=0),"",S113/T113)</f>
        <v/>
      </c>
      <c r="V113" s="50"/>
      <c r="W113" s="50"/>
      <c r="X113" s="44"/>
      <c r="Y113" s="44"/>
      <c r="Z113" s="44"/>
      <c r="AA113" s="44"/>
      <c r="AB113" s="52" t="str">
        <f aca="false">IF(OR(B113="",X113&lt;&gt;"Yes"),"",SUMIFS($U$6:U113,$X$6:X113,"Yes"))</f>
        <v/>
      </c>
      <c r="AC113" s="52" t="str">
        <f aca="false">IF(AB113="","",MAX($AB$6:AB113))</f>
        <v/>
      </c>
      <c r="AD113" s="52" t="str">
        <f aca="false">IF(AB113="","",AB113-AC113)</f>
        <v/>
      </c>
    </row>
    <row r="114" customFormat="false" ht="15" hidden="false" customHeight="false" outlineLevel="0" collapsed="false">
      <c r="A114" s="44"/>
      <c r="B114" s="45"/>
      <c r="C114" s="44"/>
      <c r="D114" s="44"/>
      <c r="E114" s="44"/>
      <c r="F114" s="44"/>
      <c r="G114" s="44"/>
      <c r="H114" s="44"/>
      <c r="I114" s="47"/>
      <c r="J114" s="47"/>
      <c r="K114" s="47"/>
      <c r="L114" s="47"/>
      <c r="M114" s="48"/>
      <c r="N114" s="49" t="str">
        <f aca="false">IF(C114="","",IFERROR(VLOOKUP(C114,Lists!$A$5:$C$8,2,FALSE()),""))</f>
        <v/>
      </c>
      <c r="O114" s="49" t="str">
        <f aca="false">IF(C114="","",IFERROR(VLOOKUP(C114,Lists!$A$5:$C$8,3,FALSE()),""))</f>
        <v/>
      </c>
      <c r="P114" s="50"/>
      <c r="Q114" s="50"/>
      <c r="R114" s="51" t="str">
        <f aca="false">IF(OR(I114="",L114="",M114="",N114="",O114=""),"",IF(F114="Long",(L114-I114)/N114*O114*M114,IF(F114="Short",(I114-L114)/N114*O114*M114,"")))</f>
        <v/>
      </c>
      <c r="S114" s="51" t="str">
        <f aca="false">IF(R114="","",R114-P114-Q114)</f>
        <v/>
      </c>
      <c r="T114" s="51" t="str">
        <f aca="false">IF(OR(I114="",J114="",M114="",N114="",O114=""),"",ABS(I114-J114)/N114*O114*M114+P114+Q114)</f>
        <v/>
      </c>
      <c r="U114" s="52" t="str">
        <f aca="false">IF(OR(S114="",T114="",T114=0),"",S114/T114)</f>
        <v/>
      </c>
      <c r="V114" s="50"/>
      <c r="W114" s="50"/>
      <c r="X114" s="44"/>
      <c r="Y114" s="44"/>
      <c r="Z114" s="44"/>
      <c r="AA114" s="44"/>
      <c r="AB114" s="52" t="str">
        <f aca="false">IF(OR(B114="",X114&lt;&gt;"Yes"),"",SUMIFS($U$6:U114,$X$6:X114,"Yes"))</f>
        <v/>
      </c>
      <c r="AC114" s="52" t="str">
        <f aca="false">IF(AB114="","",MAX($AB$6:AB114))</f>
        <v/>
      </c>
      <c r="AD114" s="52" t="str">
        <f aca="false">IF(AB114="","",AB114-AC114)</f>
        <v/>
      </c>
    </row>
    <row r="115" customFormat="false" ht="15" hidden="false" customHeight="false" outlineLevel="0" collapsed="false">
      <c r="A115" s="44"/>
      <c r="B115" s="45"/>
      <c r="C115" s="44"/>
      <c r="D115" s="44"/>
      <c r="E115" s="44"/>
      <c r="F115" s="44"/>
      <c r="G115" s="44"/>
      <c r="H115" s="44"/>
      <c r="I115" s="47"/>
      <c r="J115" s="47"/>
      <c r="K115" s="47"/>
      <c r="L115" s="47"/>
      <c r="M115" s="48"/>
      <c r="N115" s="49" t="str">
        <f aca="false">IF(C115="","",IFERROR(VLOOKUP(C115,Lists!$A$5:$C$8,2,FALSE()),""))</f>
        <v/>
      </c>
      <c r="O115" s="49" t="str">
        <f aca="false">IF(C115="","",IFERROR(VLOOKUP(C115,Lists!$A$5:$C$8,3,FALSE()),""))</f>
        <v/>
      </c>
      <c r="P115" s="50"/>
      <c r="Q115" s="50"/>
      <c r="R115" s="51" t="str">
        <f aca="false">IF(OR(I115="",L115="",M115="",N115="",O115=""),"",IF(F115="Long",(L115-I115)/N115*O115*M115,IF(F115="Short",(I115-L115)/N115*O115*M115,"")))</f>
        <v/>
      </c>
      <c r="S115" s="51" t="str">
        <f aca="false">IF(R115="","",R115-P115-Q115)</f>
        <v/>
      </c>
      <c r="T115" s="51" t="str">
        <f aca="false">IF(OR(I115="",J115="",M115="",N115="",O115=""),"",ABS(I115-J115)/N115*O115*M115+P115+Q115)</f>
        <v/>
      </c>
      <c r="U115" s="52" t="str">
        <f aca="false">IF(OR(S115="",T115="",T115=0),"",S115/T115)</f>
        <v/>
      </c>
      <c r="V115" s="50"/>
      <c r="W115" s="50"/>
      <c r="X115" s="44"/>
      <c r="Y115" s="44"/>
      <c r="Z115" s="44"/>
      <c r="AA115" s="44"/>
      <c r="AB115" s="52" t="str">
        <f aca="false">IF(OR(B115="",X115&lt;&gt;"Yes"),"",SUMIFS($U$6:U115,$X$6:X115,"Yes"))</f>
        <v/>
      </c>
      <c r="AC115" s="52" t="str">
        <f aca="false">IF(AB115="","",MAX($AB$6:AB115))</f>
        <v/>
      </c>
      <c r="AD115" s="52" t="str">
        <f aca="false">IF(AB115="","",AB115-AC115)</f>
        <v/>
      </c>
    </row>
    <row r="116" customFormat="false" ht="15" hidden="false" customHeight="false" outlineLevel="0" collapsed="false">
      <c r="A116" s="44"/>
      <c r="B116" s="45"/>
      <c r="C116" s="44"/>
      <c r="D116" s="44"/>
      <c r="E116" s="44"/>
      <c r="F116" s="44"/>
      <c r="G116" s="44"/>
      <c r="H116" s="44"/>
      <c r="I116" s="47"/>
      <c r="J116" s="47"/>
      <c r="K116" s="47"/>
      <c r="L116" s="47"/>
      <c r="M116" s="48"/>
      <c r="N116" s="49" t="str">
        <f aca="false">IF(C116="","",IFERROR(VLOOKUP(C116,Lists!$A$5:$C$8,2,FALSE()),""))</f>
        <v/>
      </c>
      <c r="O116" s="49" t="str">
        <f aca="false">IF(C116="","",IFERROR(VLOOKUP(C116,Lists!$A$5:$C$8,3,FALSE()),""))</f>
        <v/>
      </c>
      <c r="P116" s="50"/>
      <c r="Q116" s="50"/>
      <c r="R116" s="51" t="str">
        <f aca="false">IF(OR(I116="",L116="",M116="",N116="",O116=""),"",IF(F116="Long",(L116-I116)/N116*O116*M116,IF(F116="Short",(I116-L116)/N116*O116*M116,"")))</f>
        <v/>
      </c>
      <c r="S116" s="51" t="str">
        <f aca="false">IF(R116="","",R116-P116-Q116)</f>
        <v/>
      </c>
      <c r="T116" s="51" t="str">
        <f aca="false">IF(OR(I116="",J116="",M116="",N116="",O116=""),"",ABS(I116-J116)/N116*O116*M116+P116+Q116)</f>
        <v/>
      </c>
      <c r="U116" s="52" t="str">
        <f aca="false">IF(OR(S116="",T116="",T116=0),"",S116/T116)</f>
        <v/>
      </c>
      <c r="V116" s="50"/>
      <c r="W116" s="50"/>
      <c r="X116" s="44"/>
      <c r="Y116" s="44"/>
      <c r="Z116" s="44"/>
      <c r="AA116" s="44"/>
      <c r="AB116" s="52" t="str">
        <f aca="false">IF(OR(B116="",X116&lt;&gt;"Yes"),"",SUMIFS($U$6:U116,$X$6:X116,"Yes"))</f>
        <v/>
      </c>
      <c r="AC116" s="52" t="str">
        <f aca="false">IF(AB116="","",MAX($AB$6:AB116))</f>
        <v/>
      </c>
      <c r="AD116" s="52" t="str">
        <f aca="false">IF(AB116="","",AB116-AC116)</f>
        <v/>
      </c>
    </row>
    <row r="117" customFormat="false" ht="15" hidden="false" customHeight="false" outlineLevel="0" collapsed="false">
      <c r="A117" s="44"/>
      <c r="B117" s="45"/>
      <c r="C117" s="44"/>
      <c r="D117" s="44"/>
      <c r="E117" s="44"/>
      <c r="F117" s="44"/>
      <c r="G117" s="44"/>
      <c r="H117" s="44"/>
      <c r="I117" s="47"/>
      <c r="J117" s="47"/>
      <c r="K117" s="47"/>
      <c r="L117" s="47"/>
      <c r="M117" s="48"/>
      <c r="N117" s="49" t="str">
        <f aca="false">IF(C117="","",IFERROR(VLOOKUP(C117,Lists!$A$5:$C$8,2,FALSE()),""))</f>
        <v/>
      </c>
      <c r="O117" s="49" t="str">
        <f aca="false">IF(C117="","",IFERROR(VLOOKUP(C117,Lists!$A$5:$C$8,3,FALSE()),""))</f>
        <v/>
      </c>
      <c r="P117" s="50"/>
      <c r="Q117" s="50"/>
      <c r="R117" s="51" t="str">
        <f aca="false">IF(OR(I117="",L117="",M117="",N117="",O117=""),"",IF(F117="Long",(L117-I117)/N117*O117*M117,IF(F117="Short",(I117-L117)/N117*O117*M117,"")))</f>
        <v/>
      </c>
      <c r="S117" s="51" t="str">
        <f aca="false">IF(R117="","",R117-P117-Q117)</f>
        <v/>
      </c>
      <c r="T117" s="51" t="str">
        <f aca="false">IF(OR(I117="",J117="",M117="",N117="",O117=""),"",ABS(I117-J117)/N117*O117*M117+P117+Q117)</f>
        <v/>
      </c>
      <c r="U117" s="52" t="str">
        <f aca="false">IF(OR(S117="",T117="",T117=0),"",S117/T117)</f>
        <v/>
      </c>
      <c r="V117" s="50"/>
      <c r="W117" s="50"/>
      <c r="X117" s="44"/>
      <c r="Y117" s="44"/>
      <c r="Z117" s="44"/>
      <c r="AA117" s="44"/>
      <c r="AB117" s="52" t="str">
        <f aca="false">IF(OR(B117="",X117&lt;&gt;"Yes"),"",SUMIFS($U$6:U117,$X$6:X117,"Yes"))</f>
        <v/>
      </c>
      <c r="AC117" s="52" t="str">
        <f aca="false">IF(AB117="","",MAX($AB$6:AB117))</f>
        <v/>
      </c>
      <c r="AD117" s="52" t="str">
        <f aca="false">IF(AB117="","",AB117-AC117)</f>
        <v/>
      </c>
    </row>
    <row r="118" customFormat="false" ht="15" hidden="false" customHeight="false" outlineLevel="0" collapsed="false">
      <c r="A118" s="44"/>
      <c r="B118" s="45"/>
      <c r="C118" s="44"/>
      <c r="D118" s="44"/>
      <c r="E118" s="44"/>
      <c r="F118" s="44"/>
      <c r="G118" s="44"/>
      <c r="H118" s="44"/>
      <c r="I118" s="47"/>
      <c r="J118" s="47"/>
      <c r="K118" s="47"/>
      <c r="L118" s="47"/>
      <c r="M118" s="48"/>
      <c r="N118" s="49" t="str">
        <f aca="false">IF(C118="","",IFERROR(VLOOKUP(C118,Lists!$A$5:$C$8,2,FALSE()),""))</f>
        <v/>
      </c>
      <c r="O118" s="49" t="str">
        <f aca="false">IF(C118="","",IFERROR(VLOOKUP(C118,Lists!$A$5:$C$8,3,FALSE()),""))</f>
        <v/>
      </c>
      <c r="P118" s="50"/>
      <c r="Q118" s="50"/>
      <c r="R118" s="51" t="str">
        <f aca="false">IF(OR(I118="",L118="",M118="",N118="",O118=""),"",IF(F118="Long",(L118-I118)/N118*O118*M118,IF(F118="Short",(I118-L118)/N118*O118*M118,"")))</f>
        <v/>
      </c>
      <c r="S118" s="51" t="str">
        <f aca="false">IF(R118="","",R118-P118-Q118)</f>
        <v/>
      </c>
      <c r="T118" s="51" t="str">
        <f aca="false">IF(OR(I118="",J118="",M118="",N118="",O118=""),"",ABS(I118-J118)/N118*O118*M118+P118+Q118)</f>
        <v/>
      </c>
      <c r="U118" s="52" t="str">
        <f aca="false">IF(OR(S118="",T118="",T118=0),"",S118/T118)</f>
        <v/>
      </c>
      <c r="V118" s="50"/>
      <c r="W118" s="50"/>
      <c r="X118" s="44"/>
      <c r="Y118" s="44"/>
      <c r="Z118" s="44"/>
      <c r="AA118" s="44"/>
      <c r="AB118" s="52" t="str">
        <f aca="false">IF(OR(B118="",X118&lt;&gt;"Yes"),"",SUMIFS($U$6:U118,$X$6:X118,"Yes"))</f>
        <v/>
      </c>
      <c r="AC118" s="52" t="str">
        <f aca="false">IF(AB118="","",MAX($AB$6:AB118))</f>
        <v/>
      </c>
      <c r="AD118" s="52" t="str">
        <f aca="false">IF(AB118="","",AB118-AC118)</f>
        <v/>
      </c>
    </row>
    <row r="119" customFormat="false" ht="15" hidden="false" customHeight="false" outlineLevel="0" collapsed="false">
      <c r="A119" s="44"/>
      <c r="B119" s="45"/>
      <c r="C119" s="44"/>
      <c r="D119" s="44"/>
      <c r="E119" s="44"/>
      <c r="F119" s="44"/>
      <c r="G119" s="44"/>
      <c r="H119" s="44"/>
      <c r="I119" s="47"/>
      <c r="J119" s="47"/>
      <c r="K119" s="47"/>
      <c r="L119" s="47"/>
      <c r="M119" s="48"/>
      <c r="N119" s="49" t="str">
        <f aca="false">IF(C119="","",IFERROR(VLOOKUP(C119,Lists!$A$5:$C$8,2,FALSE()),""))</f>
        <v/>
      </c>
      <c r="O119" s="49" t="str">
        <f aca="false">IF(C119="","",IFERROR(VLOOKUP(C119,Lists!$A$5:$C$8,3,FALSE()),""))</f>
        <v/>
      </c>
      <c r="P119" s="50"/>
      <c r="Q119" s="50"/>
      <c r="R119" s="51" t="str">
        <f aca="false">IF(OR(I119="",L119="",M119="",N119="",O119=""),"",IF(F119="Long",(L119-I119)/N119*O119*M119,IF(F119="Short",(I119-L119)/N119*O119*M119,"")))</f>
        <v/>
      </c>
      <c r="S119" s="51" t="str">
        <f aca="false">IF(R119="","",R119-P119-Q119)</f>
        <v/>
      </c>
      <c r="T119" s="51" t="str">
        <f aca="false">IF(OR(I119="",J119="",M119="",N119="",O119=""),"",ABS(I119-J119)/N119*O119*M119+P119+Q119)</f>
        <v/>
      </c>
      <c r="U119" s="52" t="str">
        <f aca="false">IF(OR(S119="",T119="",T119=0),"",S119/T119)</f>
        <v/>
      </c>
      <c r="V119" s="50"/>
      <c r="W119" s="50"/>
      <c r="X119" s="44"/>
      <c r="Y119" s="44"/>
      <c r="Z119" s="44"/>
      <c r="AA119" s="44"/>
      <c r="AB119" s="52" t="str">
        <f aca="false">IF(OR(B119="",X119&lt;&gt;"Yes"),"",SUMIFS($U$6:U119,$X$6:X119,"Yes"))</f>
        <v/>
      </c>
      <c r="AC119" s="52" t="str">
        <f aca="false">IF(AB119="","",MAX($AB$6:AB119))</f>
        <v/>
      </c>
      <c r="AD119" s="52" t="str">
        <f aca="false">IF(AB119="","",AB119-AC119)</f>
        <v/>
      </c>
    </row>
    <row r="120" customFormat="false" ht="15" hidden="false" customHeight="false" outlineLevel="0" collapsed="false">
      <c r="A120" s="44"/>
      <c r="B120" s="45"/>
      <c r="C120" s="44"/>
      <c r="D120" s="44"/>
      <c r="E120" s="44"/>
      <c r="F120" s="44"/>
      <c r="G120" s="44"/>
      <c r="H120" s="44"/>
      <c r="I120" s="47"/>
      <c r="J120" s="47"/>
      <c r="K120" s="47"/>
      <c r="L120" s="47"/>
      <c r="M120" s="48"/>
      <c r="N120" s="49" t="str">
        <f aca="false">IF(C120="","",IFERROR(VLOOKUP(C120,Lists!$A$5:$C$8,2,FALSE()),""))</f>
        <v/>
      </c>
      <c r="O120" s="49" t="str">
        <f aca="false">IF(C120="","",IFERROR(VLOOKUP(C120,Lists!$A$5:$C$8,3,FALSE()),""))</f>
        <v/>
      </c>
      <c r="P120" s="50"/>
      <c r="Q120" s="50"/>
      <c r="R120" s="51" t="str">
        <f aca="false">IF(OR(I120="",L120="",M120="",N120="",O120=""),"",IF(F120="Long",(L120-I120)/N120*O120*M120,IF(F120="Short",(I120-L120)/N120*O120*M120,"")))</f>
        <v/>
      </c>
      <c r="S120" s="51" t="str">
        <f aca="false">IF(R120="","",R120-P120-Q120)</f>
        <v/>
      </c>
      <c r="T120" s="51" t="str">
        <f aca="false">IF(OR(I120="",J120="",M120="",N120="",O120=""),"",ABS(I120-J120)/N120*O120*M120+P120+Q120)</f>
        <v/>
      </c>
      <c r="U120" s="52" t="str">
        <f aca="false">IF(OR(S120="",T120="",T120=0),"",S120/T120)</f>
        <v/>
      </c>
      <c r="V120" s="50"/>
      <c r="W120" s="50"/>
      <c r="X120" s="44"/>
      <c r="Y120" s="44"/>
      <c r="Z120" s="44"/>
      <c r="AA120" s="44"/>
      <c r="AB120" s="52" t="str">
        <f aca="false">IF(OR(B120="",X120&lt;&gt;"Yes"),"",SUMIFS($U$6:U120,$X$6:X120,"Yes"))</f>
        <v/>
      </c>
      <c r="AC120" s="52" t="str">
        <f aca="false">IF(AB120="","",MAX($AB$6:AB120))</f>
        <v/>
      </c>
      <c r="AD120" s="52" t="str">
        <f aca="false">IF(AB120="","",AB120-AC120)</f>
        <v/>
      </c>
    </row>
    <row r="121" customFormat="false" ht="15" hidden="false" customHeight="false" outlineLevel="0" collapsed="false">
      <c r="A121" s="44"/>
      <c r="B121" s="45"/>
      <c r="C121" s="44"/>
      <c r="D121" s="44"/>
      <c r="E121" s="44"/>
      <c r="F121" s="44"/>
      <c r="G121" s="44"/>
      <c r="H121" s="44"/>
      <c r="I121" s="47"/>
      <c r="J121" s="47"/>
      <c r="K121" s="47"/>
      <c r="L121" s="47"/>
      <c r="M121" s="48"/>
      <c r="N121" s="49" t="str">
        <f aca="false">IF(C121="","",IFERROR(VLOOKUP(C121,Lists!$A$5:$C$8,2,FALSE()),""))</f>
        <v/>
      </c>
      <c r="O121" s="49" t="str">
        <f aca="false">IF(C121="","",IFERROR(VLOOKUP(C121,Lists!$A$5:$C$8,3,FALSE()),""))</f>
        <v/>
      </c>
      <c r="P121" s="50"/>
      <c r="Q121" s="50"/>
      <c r="R121" s="51" t="str">
        <f aca="false">IF(OR(I121="",L121="",M121="",N121="",O121=""),"",IF(F121="Long",(L121-I121)/N121*O121*M121,IF(F121="Short",(I121-L121)/N121*O121*M121,"")))</f>
        <v/>
      </c>
      <c r="S121" s="51" t="str">
        <f aca="false">IF(R121="","",R121-P121-Q121)</f>
        <v/>
      </c>
      <c r="T121" s="51" t="str">
        <f aca="false">IF(OR(I121="",J121="",M121="",N121="",O121=""),"",ABS(I121-J121)/N121*O121*M121+P121+Q121)</f>
        <v/>
      </c>
      <c r="U121" s="52" t="str">
        <f aca="false">IF(OR(S121="",T121="",T121=0),"",S121/T121)</f>
        <v/>
      </c>
      <c r="V121" s="50"/>
      <c r="W121" s="50"/>
      <c r="X121" s="44"/>
      <c r="Y121" s="44"/>
      <c r="Z121" s="44"/>
      <c r="AA121" s="44"/>
      <c r="AB121" s="52" t="str">
        <f aca="false">IF(OR(B121="",X121&lt;&gt;"Yes"),"",SUMIFS($U$6:U121,$X$6:X121,"Yes"))</f>
        <v/>
      </c>
      <c r="AC121" s="52" t="str">
        <f aca="false">IF(AB121="","",MAX($AB$6:AB121))</f>
        <v/>
      </c>
      <c r="AD121" s="52" t="str">
        <f aca="false">IF(AB121="","",AB121-AC121)</f>
        <v/>
      </c>
    </row>
    <row r="122" customFormat="false" ht="15" hidden="false" customHeight="false" outlineLevel="0" collapsed="false">
      <c r="A122" s="44"/>
      <c r="B122" s="45"/>
      <c r="C122" s="44"/>
      <c r="D122" s="44"/>
      <c r="E122" s="44"/>
      <c r="F122" s="44"/>
      <c r="G122" s="44"/>
      <c r="H122" s="44"/>
      <c r="I122" s="47"/>
      <c r="J122" s="47"/>
      <c r="K122" s="47"/>
      <c r="L122" s="47"/>
      <c r="M122" s="48"/>
      <c r="N122" s="49" t="str">
        <f aca="false">IF(C122="","",IFERROR(VLOOKUP(C122,Lists!$A$5:$C$8,2,FALSE()),""))</f>
        <v/>
      </c>
      <c r="O122" s="49" t="str">
        <f aca="false">IF(C122="","",IFERROR(VLOOKUP(C122,Lists!$A$5:$C$8,3,FALSE()),""))</f>
        <v/>
      </c>
      <c r="P122" s="50"/>
      <c r="Q122" s="50"/>
      <c r="R122" s="51" t="str">
        <f aca="false">IF(OR(I122="",L122="",M122="",N122="",O122=""),"",IF(F122="Long",(L122-I122)/N122*O122*M122,IF(F122="Short",(I122-L122)/N122*O122*M122,"")))</f>
        <v/>
      </c>
      <c r="S122" s="51" t="str">
        <f aca="false">IF(R122="","",R122-P122-Q122)</f>
        <v/>
      </c>
      <c r="T122" s="51" t="str">
        <f aca="false">IF(OR(I122="",J122="",M122="",N122="",O122=""),"",ABS(I122-J122)/N122*O122*M122+P122+Q122)</f>
        <v/>
      </c>
      <c r="U122" s="52" t="str">
        <f aca="false">IF(OR(S122="",T122="",T122=0),"",S122/T122)</f>
        <v/>
      </c>
      <c r="V122" s="50"/>
      <c r="W122" s="50"/>
      <c r="X122" s="44"/>
      <c r="Y122" s="44"/>
      <c r="Z122" s="44"/>
      <c r="AA122" s="44"/>
      <c r="AB122" s="52" t="str">
        <f aca="false">IF(OR(B122="",X122&lt;&gt;"Yes"),"",SUMIFS($U$6:U122,$X$6:X122,"Yes"))</f>
        <v/>
      </c>
      <c r="AC122" s="52" t="str">
        <f aca="false">IF(AB122="","",MAX($AB$6:AB122))</f>
        <v/>
      </c>
      <c r="AD122" s="52" t="str">
        <f aca="false">IF(AB122="","",AB122-AC122)</f>
        <v/>
      </c>
    </row>
    <row r="123" customFormat="false" ht="15" hidden="false" customHeight="false" outlineLevel="0" collapsed="false">
      <c r="A123" s="44"/>
      <c r="B123" s="45"/>
      <c r="C123" s="44"/>
      <c r="D123" s="44"/>
      <c r="E123" s="44"/>
      <c r="F123" s="44"/>
      <c r="G123" s="44"/>
      <c r="H123" s="44"/>
      <c r="I123" s="47"/>
      <c r="J123" s="47"/>
      <c r="K123" s="47"/>
      <c r="L123" s="47"/>
      <c r="M123" s="48"/>
      <c r="N123" s="49" t="str">
        <f aca="false">IF(C123="","",IFERROR(VLOOKUP(C123,Lists!$A$5:$C$8,2,FALSE()),""))</f>
        <v/>
      </c>
      <c r="O123" s="49" t="str">
        <f aca="false">IF(C123="","",IFERROR(VLOOKUP(C123,Lists!$A$5:$C$8,3,FALSE()),""))</f>
        <v/>
      </c>
      <c r="P123" s="50"/>
      <c r="Q123" s="50"/>
      <c r="R123" s="51" t="str">
        <f aca="false">IF(OR(I123="",L123="",M123="",N123="",O123=""),"",IF(F123="Long",(L123-I123)/N123*O123*M123,IF(F123="Short",(I123-L123)/N123*O123*M123,"")))</f>
        <v/>
      </c>
      <c r="S123" s="51" t="str">
        <f aca="false">IF(R123="","",R123-P123-Q123)</f>
        <v/>
      </c>
      <c r="T123" s="51" t="str">
        <f aca="false">IF(OR(I123="",J123="",M123="",N123="",O123=""),"",ABS(I123-J123)/N123*O123*M123+P123+Q123)</f>
        <v/>
      </c>
      <c r="U123" s="52" t="str">
        <f aca="false">IF(OR(S123="",T123="",T123=0),"",S123/T123)</f>
        <v/>
      </c>
      <c r="V123" s="50"/>
      <c r="W123" s="50"/>
      <c r="X123" s="44"/>
      <c r="Y123" s="44"/>
      <c r="Z123" s="44"/>
      <c r="AA123" s="44"/>
      <c r="AB123" s="52" t="str">
        <f aca="false">IF(OR(B123="",X123&lt;&gt;"Yes"),"",SUMIFS($U$6:U123,$X$6:X123,"Yes"))</f>
        <v/>
      </c>
      <c r="AC123" s="52" t="str">
        <f aca="false">IF(AB123="","",MAX($AB$6:AB123))</f>
        <v/>
      </c>
      <c r="AD123" s="52" t="str">
        <f aca="false">IF(AB123="","",AB123-AC123)</f>
        <v/>
      </c>
    </row>
    <row r="124" customFormat="false" ht="15" hidden="false" customHeight="false" outlineLevel="0" collapsed="false">
      <c r="A124" s="44"/>
      <c r="B124" s="45"/>
      <c r="C124" s="44"/>
      <c r="D124" s="44"/>
      <c r="E124" s="44"/>
      <c r="F124" s="44"/>
      <c r="G124" s="44"/>
      <c r="H124" s="44"/>
      <c r="I124" s="47"/>
      <c r="J124" s="47"/>
      <c r="K124" s="47"/>
      <c r="L124" s="47"/>
      <c r="M124" s="48"/>
      <c r="N124" s="49" t="str">
        <f aca="false">IF(C124="","",IFERROR(VLOOKUP(C124,Lists!$A$5:$C$8,2,FALSE()),""))</f>
        <v/>
      </c>
      <c r="O124" s="49" t="str">
        <f aca="false">IF(C124="","",IFERROR(VLOOKUP(C124,Lists!$A$5:$C$8,3,FALSE()),""))</f>
        <v/>
      </c>
      <c r="P124" s="50"/>
      <c r="Q124" s="50"/>
      <c r="R124" s="51" t="str">
        <f aca="false">IF(OR(I124="",L124="",M124="",N124="",O124=""),"",IF(F124="Long",(L124-I124)/N124*O124*M124,IF(F124="Short",(I124-L124)/N124*O124*M124,"")))</f>
        <v/>
      </c>
      <c r="S124" s="51" t="str">
        <f aca="false">IF(R124="","",R124-P124-Q124)</f>
        <v/>
      </c>
      <c r="T124" s="51" t="str">
        <f aca="false">IF(OR(I124="",J124="",M124="",N124="",O124=""),"",ABS(I124-J124)/N124*O124*M124+P124+Q124)</f>
        <v/>
      </c>
      <c r="U124" s="52" t="str">
        <f aca="false">IF(OR(S124="",T124="",T124=0),"",S124/T124)</f>
        <v/>
      </c>
      <c r="V124" s="50"/>
      <c r="W124" s="50"/>
      <c r="X124" s="44"/>
      <c r="Y124" s="44"/>
      <c r="Z124" s="44"/>
      <c r="AA124" s="44"/>
      <c r="AB124" s="52" t="str">
        <f aca="false">IF(OR(B124="",X124&lt;&gt;"Yes"),"",SUMIFS($U$6:U124,$X$6:X124,"Yes"))</f>
        <v/>
      </c>
      <c r="AC124" s="52" t="str">
        <f aca="false">IF(AB124="","",MAX($AB$6:AB124))</f>
        <v/>
      </c>
      <c r="AD124" s="52" t="str">
        <f aca="false">IF(AB124="","",AB124-AC124)</f>
        <v/>
      </c>
    </row>
    <row r="125" customFormat="false" ht="15" hidden="false" customHeight="false" outlineLevel="0" collapsed="false">
      <c r="A125" s="44"/>
      <c r="B125" s="45"/>
      <c r="C125" s="44"/>
      <c r="D125" s="44"/>
      <c r="E125" s="44"/>
      <c r="F125" s="44"/>
      <c r="G125" s="44"/>
      <c r="H125" s="44"/>
      <c r="I125" s="47"/>
      <c r="J125" s="47"/>
      <c r="K125" s="47"/>
      <c r="L125" s="47"/>
      <c r="M125" s="48"/>
      <c r="N125" s="49" t="str">
        <f aca="false">IF(C125="","",IFERROR(VLOOKUP(C125,Lists!$A$5:$C$8,2,FALSE()),""))</f>
        <v/>
      </c>
      <c r="O125" s="49" t="str">
        <f aca="false">IF(C125="","",IFERROR(VLOOKUP(C125,Lists!$A$5:$C$8,3,FALSE()),""))</f>
        <v/>
      </c>
      <c r="P125" s="50"/>
      <c r="Q125" s="50"/>
      <c r="R125" s="51" t="str">
        <f aca="false">IF(OR(I125="",L125="",M125="",N125="",O125=""),"",IF(F125="Long",(L125-I125)/N125*O125*M125,IF(F125="Short",(I125-L125)/N125*O125*M125,"")))</f>
        <v/>
      </c>
      <c r="S125" s="51" t="str">
        <f aca="false">IF(R125="","",R125-P125-Q125)</f>
        <v/>
      </c>
      <c r="T125" s="51" t="str">
        <f aca="false">IF(OR(I125="",J125="",M125="",N125="",O125=""),"",ABS(I125-J125)/N125*O125*M125+P125+Q125)</f>
        <v/>
      </c>
      <c r="U125" s="52" t="str">
        <f aca="false">IF(OR(S125="",T125="",T125=0),"",S125/T125)</f>
        <v/>
      </c>
      <c r="V125" s="50"/>
      <c r="W125" s="50"/>
      <c r="X125" s="44"/>
      <c r="Y125" s="44"/>
      <c r="Z125" s="44"/>
      <c r="AA125" s="44"/>
      <c r="AB125" s="52" t="str">
        <f aca="false">IF(OR(B125="",X125&lt;&gt;"Yes"),"",SUMIFS($U$6:U125,$X$6:X125,"Yes"))</f>
        <v/>
      </c>
      <c r="AC125" s="52" t="str">
        <f aca="false">IF(AB125="","",MAX($AB$6:AB125))</f>
        <v/>
      </c>
      <c r="AD125" s="52" t="str">
        <f aca="false">IF(AB125="","",AB125-AC125)</f>
        <v/>
      </c>
    </row>
    <row r="126" customFormat="false" ht="15" hidden="false" customHeight="false" outlineLevel="0" collapsed="false">
      <c r="A126" s="44"/>
      <c r="B126" s="45"/>
      <c r="C126" s="44"/>
      <c r="D126" s="44"/>
      <c r="E126" s="44"/>
      <c r="F126" s="44"/>
      <c r="G126" s="44"/>
      <c r="H126" s="44"/>
      <c r="I126" s="47"/>
      <c r="J126" s="47"/>
      <c r="K126" s="47"/>
      <c r="L126" s="47"/>
      <c r="M126" s="48"/>
      <c r="N126" s="49" t="str">
        <f aca="false">IF(C126="","",IFERROR(VLOOKUP(C126,Lists!$A$5:$C$8,2,FALSE()),""))</f>
        <v/>
      </c>
      <c r="O126" s="49" t="str">
        <f aca="false">IF(C126="","",IFERROR(VLOOKUP(C126,Lists!$A$5:$C$8,3,FALSE()),""))</f>
        <v/>
      </c>
      <c r="P126" s="50"/>
      <c r="Q126" s="50"/>
      <c r="R126" s="51" t="str">
        <f aca="false">IF(OR(I126="",L126="",M126="",N126="",O126=""),"",IF(F126="Long",(L126-I126)/N126*O126*M126,IF(F126="Short",(I126-L126)/N126*O126*M126,"")))</f>
        <v/>
      </c>
      <c r="S126" s="51" t="str">
        <f aca="false">IF(R126="","",R126-P126-Q126)</f>
        <v/>
      </c>
      <c r="T126" s="51" t="str">
        <f aca="false">IF(OR(I126="",J126="",M126="",N126="",O126=""),"",ABS(I126-J126)/N126*O126*M126+P126+Q126)</f>
        <v/>
      </c>
      <c r="U126" s="52" t="str">
        <f aca="false">IF(OR(S126="",T126="",T126=0),"",S126/T126)</f>
        <v/>
      </c>
      <c r="V126" s="50"/>
      <c r="W126" s="50"/>
      <c r="X126" s="44"/>
      <c r="Y126" s="44"/>
      <c r="Z126" s="44"/>
      <c r="AA126" s="44"/>
      <c r="AB126" s="52" t="str">
        <f aca="false">IF(OR(B126="",X126&lt;&gt;"Yes"),"",SUMIFS($U$6:U126,$X$6:X126,"Yes"))</f>
        <v/>
      </c>
      <c r="AC126" s="52" t="str">
        <f aca="false">IF(AB126="","",MAX($AB$6:AB126))</f>
        <v/>
      </c>
      <c r="AD126" s="52" t="str">
        <f aca="false">IF(AB126="","",AB126-AC126)</f>
        <v/>
      </c>
    </row>
    <row r="127" customFormat="false" ht="15" hidden="false" customHeight="false" outlineLevel="0" collapsed="false">
      <c r="A127" s="44"/>
      <c r="B127" s="45"/>
      <c r="C127" s="44"/>
      <c r="D127" s="44"/>
      <c r="E127" s="44"/>
      <c r="F127" s="44"/>
      <c r="G127" s="44"/>
      <c r="H127" s="44"/>
      <c r="I127" s="47"/>
      <c r="J127" s="47"/>
      <c r="K127" s="47"/>
      <c r="L127" s="47"/>
      <c r="M127" s="48"/>
      <c r="N127" s="49" t="str">
        <f aca="false">IF(C127="","",IFERROR(VLOOKUP(C127,Lists!$A$5:$C$8,2,FALSE()),""))</f>
        <v/>
      </c>
      <c r="O127" s="49" t="str">
        <f aca="false">IF(C127="","",IFERROR(VLOOKUP(C127,Lists!$A$5:$C$8,3,FALSE()),""))</f>
        <v/>
      </c>
      <c r="P127" s="50"/>
      <c r="Q127" s="50"/>
      <c r="R127" s="51" t="str">
        <f aca="false">IF(OR(I127="",L127="",M127="",N127="",O127=""),"",IF(F127="Long",(L127-I127)/N127*O127*M127,IF(F127="Short",(I127-L127)/N127*O127*M127,"")))</f>
        <v/>
      </c>
      <c r="S127" s="51" t="str">
        <f aca="false">IF(R127="","",R127-P127-Q127)</f>
        <v/>
      </c>
      <c r="T127" s="51" t="str">
        <f aca="false">IF(OR(I127="",J127="",M127="",N127="",O127=""),"",ABS(I127-J127)/N127*O127*M127+P127+Q127)</f>
        <v/>
      </c>
      <c r="U127" s="52" t="str">
        <f aca="false">IF(OR(S127="",T127="",T127=0),"",S127/T127)</f>
        <v/>
      </c>
      <c r="V127" s="50"/>
      <c r="W127" s="50"/>
      <c r="X127" s="44"/>
      <c r="Y127" s="44"/>
      <c r="Z127" s="44"/>
      <c r="AA127" s="44"/>
      <c r="AB127" s="52" t="str">
        <f aca="false">IF(OR(B127="",X127&lt;&gt;"Yes"),"",SUMIFS($U$6:U127,$X$6:X127,"Yes"))</f>
        <v/>
      </c>
      <c r="AC127" s="52" t="str">
        <f aca="false">IF(AB127="","",MAX($AB$6:AB127))</f>
        <v/>
      </c>
      <c r="AD127" s="52" t="str">
        <f aca="false">IF(AB127="","",AB127-AC127)</f>
        <v/>
      </c>
    </row>
    <row r="128" customFormat="false" ht="15" hidden="false" customHeight="false" outlineLevel="0" collapsed="false">
      <c r="A128" s="44"/>
      <c r="B128" s="45"/>
      <c r="C128" s="44"/>
      <c r="D128" s="44"/>
      <c r="E128" s="44"/>
      <c r="F128" s="44"/>
      <c r="G128" s="44"/>
      <c r="H128" s="44"/>
      <c r="I128" s="47"/>
      <c r="J128" s="47"/>
      <c r="K128" s="47"/>
      <c r="L128" s="47"/>
      <c r="M128" s="48"/>
      <c r="N128" s="49" t="str">
        <f aca="false">IF(C128="","",IFERROR(VLOOKUP(C128,Lists!$A$5:$C$8,2,FALSE()),""))</f>
        <v/>
      </c>
      <c r="O128" s="49" t="str">
        <f aca="false">IF(C128="","",IFERROR(VLOOKUP(C128,Lists!$A$5:$C$8,3,FALSE()),""))</f>
        <v/>
      </c>
      <c r="P128" s="50"/>
      <c r="Q128" s="50"/>
      <c r="R128" s="51" t="str">
        <f aca="false">IF(OR(I128="",L128="",M128="",N128="",O128=""),"",IF(F128="Long",(L128-I128)/N128*O128*M128,IF(F128="Short",(I128-L128)/N128*O128*M128,"")))</f>
        <v/>
      </c>
      <c r="S128" s="51" t="str">
        <f aca="false">IF(R128="","",R128-P128-Q128)</f>
        <v/>
      </c>
      <c r="T128" s="51" t="str">
        <f aca="false">IF(OR(I128="",J128="",M128="",N128="",O128=""),"",ABS(I128-J128)/N128*O128*M128+P128+Q128)</f>
        <v/>
      </c>
      <c r="U128" s="52" t="str">
        <f aca="false">IF(OR(S128="",T128="",T128=0),"",S128/T128)</f>
        <v/>
      </c>
      <c r="V128" s="50"/>
      <c r="W128" s="50"/>
      <c r="X128" s="44"/>
      <c r="Y128" s="44"/>
      <c r="Z128" s="44"/>
      <c r="AA128" s="44"/>
      <c r="AB128" s="52" t="str">
        <f aca="false">IF(OR(B128="",X128&lt;&gt;"Yes"),"",SUMIFS($U$6:U128,$X$6:X128,"Yes"))</f>
        <v/>
      </c>
      <c r="AC128" s="52" t="str">
        <f aca="false">IF(AB128="","",MAX($AB$6:AB128))</f>
        <v/>
      </c>
      <c r="AD128" s="52" t="str">
        <f aca="false">IF(AB128="","",AB128-AC128)</f>
        <v/>
      </c>
    </row>
    <row r="129" customFormat="false" ht="15" hidden="false" customHeight="false" outlineLevel="0" collapsed="false">
      <c r="A129" s="44"/>
      <c r="B129" s="45"/>
      <c r="C129" s="44"/>
      <c r="D129" s="44"/>
      <c r="E129" s="44"/>
      <c r="F129" s="44"/>
      <c r="G129" s="44"/>
      <c r="H129" s="44"/>
      <c r="I129" s="47"/>
      <c r="J129" s="47"/>
      <c r="K129" s="47"/>
      <c r="L129" s="47"/>
      <c r="M129" s="48"/>
      <c r="N129" s="49" t="str">
        <f aca="false">IF(C129="","",IFERROR(VLOOKUP(C129,Lists!$A$5:$C$8,2,FALSE()),""))</f>
        <v/>
      </c>
      <c r="O129" s="49" t="str">
        <f aca="false">IF(C129="","",IFERROR(VLOOKUP(C129,Lists!$A$5:$C$8,3,FALSE()),""))</f>
        <v/>
      </c>
      <c r="P129" s="50"/>
      <c r="Q129" s="50"/>
      <c r="R129" s="51" t="str">
        <f aca="false">IF(OR(I129="",L129="",M129="",N129="",O129=""),"",IF(F129="Long",(L129-I129)/N129*O129*M129,IF(F129="Short",(I129-L129)/N129*O129*M129,"")))</f>
        <v/>
      </c>
      <c r="S129" s="51" t="str">
        <f aca="false">IF(R129="","",R129-P129-Q129)</f>
        <v/>
      </c>
      <c r="T129" s="51" t="str">
        <f aca="false">IF(OR(I129="",J129="",M129="",N129="",O129=""),"",ABS(I129-J129)/N129*O129*M129+P129+Q129)</f>
        <v/>
      </c>
      <c r="U129" s="52" t="str">
        <f aca="false">IF(OR(S129="",T129="",T129=0),"",S129/T129)</f>
        <v/>
      </c>
      <c r="V129" s="50"/>
      <c r="W129" s="50"/>
      <c r="X129" s="44"/>
      <c r="Y129" s="44"/>
      <c r="Z129" s="44"/>
      <c r="AA129" s="44"/>
      <c r="AB129" s="52" t="str">
        <f aca="false">IF(OR(B129="",X129&lt;&gt;"Yes"),"",SUMIFS($U$6:U129,$X$6:X129,"Yes"))</f>
        <v/>
      </c>
      <c r="AC129" s="52" t="str">
        <f aca="false">IF(AB129="","",MAX($AB$6:AB129))</f>
        <v/>
      </c>
      <c r="AD129" s="52" t="str">
        <f aca="false">IF(AB129="","",AB129-AC129)</f>
        <v/>
      </c>
    </row>
    <row r="130" customFormat="false" ht="15" hidden="false" customHeight="false" outlineLevel="0" collapsed="false">
      <c r="A130" s="44"/>
      <c r="B130" s="45"/>
      <c r="C130" s="44"/>
      <c r="D130" s="44"/>
      <c r="E130" s="44"/>
      <c r="F130" s="44"/>
      <c r="G130" s="44"/>
      <c r="H130" s="44"/>
      <c r="I130" s="47"/>
      <c r="J130" s="47"/>
      <c r="K130" s="47"/>
      <c r="L130" s="47"/>
      <c r="M130" s="48"/>
      <c r="N130" s="49" t="str">
        <f aca="false">IF(C130="","",IFERROR(VLOOKUP(C130,Lists!$A$5:$C$8,2,FALSE()),""))</f>
        <v/>
      </c>
      <c r="O130" s="49" t="str">
        <f aca="false">IF(C130="","",IFERROR(VLOOKUP(C130,Lists!$A$5:$C$8,3,FALSE()),""))</f>
        <v/>
      </c>
      <c r="P130" s="50"/>
      <c r="Q130" s="50"/>
      <c r="R130" s="51" t="str">
        <f aca="false">IF(OR(I130="",L130="",M130="",N130="",O130=""),"",IF(F130="Long",(L130-I130)/N130*O130*M130,IF(F130="Short",(I130-L130)/N130*O130*M130,"")))</f>
        <v/>
      </c>
      <c r="S130" s="51" t="str">
        <f aca="false">IF(R130="","",R130-P130-Q130)</f>
        <v/>
      </c>
      <c r="T130" s="51" t="str">
        <f aca="false">IF(OR(I130="",J130="",M130="",N130="",O130=""),"",ABS(I130-J130)/N130*O130*M130+P130+Q130)</f>
        <v/>
      </c>
      <c r="U130" s="52" t="str">
        <f aca="false">IF(OR(S130="",T130="",T130=0),"",S130/T130)</f>
        <v/>
      </c>
      <c r="V130" s="50"/>
      <c r="W130" s="50"/>
      <c r="X130" s="44"/>
      <c r="Y130" s="44"/>
      <c r="Z130" s="44"/>
      <c r="AA130" s="44"/>
      <c r="AB130" s="52" t="str">
        <f aca="false">IF(OR(B130="",X130&lt;&gt;"Yes"),"",SUMIFS($U$6:U130,$X$6:X130,"Yes"))</f>
        <v/>
      </c>
      <c r="AC130" s="52" t="str">
        <f aca="false">IF(AB130="","",MAX($AB$6:AB130))</f>
        <v/>
      </c>
      <c r="AD130" s="52" t="str">
        <f aca="false">IF(AB130="","",AB130-AC130)</f>
        <v/>
      </c>
    </row>
    <row r="131" customFormat="false" ht="15" hidden="false" customHeight="false" outlineLevel="0" collapsed="false">
      <c r="A131" s="44"/>
      <c r="B131" s="45"/>
      <c r="C131" s="44"/>
      <c r="D131" s="44"/>
      <c r="E131" s="44"/>
      <c r="F131" s="44"/>
      <c r="G131" s="44"/>
      <c r="H131" s="44"/>
      <c r="I131" s="47"/>
      <c r="J131" s="47"/>
      <c r="K131" s="47"/>
      <c r="L131" s="47"/>
      <c r="M131" s="48"/>
      <c r="N131" s="49" t="str">
        <f aca="false">IF(C131="","",IFERROR(VLOOKUP(C131,Lists!$A$5:$C$8,2,FALSE()),""))</f>
        <v/>
      </c>
      <c r="O131" s="49" t="str">
        <f aca="false">IF(C131="","",IFERROR(VLOOKUP(C131,Lists!$A$5:$C$8,3,FALSE()),""))</f>
        <v/>
      </c>
      <c r="P131" s="50"/>
      <c r="Q131" s="50"/>
      <c r="R131" s="51" t="str">
        <f aca="false">IF(OR(I131="",L131="",M131="",N131="",O131=""),"",IF(F131="Long",(L131-I131)/N131*O131*M131,IF(F131="Short",(I131-L131)/N131*O131*M131,"")))</f>
        <v/>
      </c>
      <c r="S131" s="51" t="str">
        <f aca="false">IF(R131="","",R131-P131-Q131)</f>
        <v/>
      </c>
      <c r="T131" s="51" t="str">
        <f aca="false">IF(OR(I131="",J131="",M131="",N131="",O131=""),"",ABS(I131-J131)/N131*O131*M131+P131+Q131)</f>
        <v/>
      </c>
      <c r="U131" s="52" t="str">
        <f aca="false">IF(OR(S131="",T131="",T131=0),"",S131/T131)</f>
        <v/>
      </c>
      <c r="V131" s="50"/>
      <c r="W131" s="50"/>
      <c r="X131" s="44"/>
      <c r="Y131" s="44"/>
      <c r="Z131" s="44"/>
      <c r="AA131" s="44"/>
      <c r="AB131" s="52" t="str">
        <f aca="false">IF(OR(B131="",X131&lt;&gt;"Yes"),"",SUMIFS($U$6:U131,$X$6:X131,"Yes"))</f>
        <v/>
      </c>
      <c r="AC131" s="52" t="str">
        <f aca="false">IF(AB131="","",MAX($AB$6:AB131))</f>
        <v/>
      </c>
      <c r="AD131" s="52" t="str">
        <f aca="false">IF(AB131="","",AB131-AC131)</f>
        <v/>
      </c>
    </row>
    <row r="132" customFormat="false" ht="15" hidden="false" customHeight="false" outlineLevel="0" collapsed="false">
      <c r="A132" s="44"/>
      <c r="B132" s="45"/>
      <c r="C132" s="44"/>
      <c r="D132" s="44"/>
      <c r="E132" s="44"/>
      <c r="F132" s="44"/>
      <c r="G132" s="44"/>
      <c r="H132" s="44"/>
      <c r="I132" s="47"/>
      <c r="J132" s="47"/>
      <c r="K132" s="47"/>
      <c r="L132" s="47"/>
      <c r="M132" s="48"/>
      <c r="N132" s="49" t="str">
        <f aca="false">IF(C132="","",IFERROR(VLOOKUP(C132,Lists!$A$5:$C$8,2,FALSE()),""))</f>
        <v/>
      </c>
      <c r="O132" s="49" t="str">
        <f aca="false">IF(C132="","",IFERROR(VLOOKUP(C132,Lists!$A$5:$C$8,3,FALSE()),""))</f>
        <v/>
      </c>
      <c r="P132" s="50"/>
      <c r="Q132" s="50"/>
      <c r="R132" s="51" t="str">
        <f aca="false">IF(OR(I132="",L132="",M132="",N132="",O132=""),"",IF(F132="Long",(L132-I132)/N132*O132*M132,IF(F132="Short",(I132-L132)/N132*O132*M132,"")))</f>
        <v/>
      </c>
      <c r="S132" s="51" t="str">
        <f aca="false">IF(R132="","",R132-P132-Q132)</f>
        <v/>
      </c>
      <c r="T132" s="51" t="str">
        <f aca="false">IF(OR(I132="",J132="",M132="",N132="",O132=""),"",ABS(I132-J132)/N132*O132*M132+P132+Q132)</f>
        <v/>
      </c>
      <c r="U132" s="52" t="str">
        <f aca="false">IF(OR(S132="",T132="",T132=0),"",S132/T132)</f>
        <v/>
      </c>
      <c r="V132" s="50"/>
      <c r="W132" s="50"/>
      <c r="X132" s="44"/>
      <c r="Y132" s="44"/>
      <c r="Z132" s="44"/>
      <c r="AA132" s="44"/>
      <c r="AB132" s="52" t="str">
        <f aca="false">IF(OR(B132="",X132&lt;&gt;"Yes"),"",SUMIFS($U$6:U132,$X$6:X132,"Yes"))</f>
        <v/>
      </c>
      <c r="AC132" s="52" t="str">
        <f aca="false">IF(AB132="","",MAX($AB$6:AB132))</f>
        <v/>
      </c>
      <c r="AD132" s="52" t="str">
        <f aca="false">IF(AB132="","",AB132-AC132)</f>
        <v/>
      </c>
    </row>
    <row r="133" customFormat="false" ht="15" hidden="false" customHeight="false" outlineLevel="0" collapsed="false">
      <c r="A133" s="44"/>
      <c r="B133" s="45"/>
      <c r="C133" s="44"/>
      <c r="D133" s="44"/>
      <c r="E133" s="44"/>
      <c r="F133" s="44"/>
      <c r="G133" s="44"/>
      <c r="H133" s="44"/>
      <c r="I133" s="47"/>
      <c r="J133" s="47"/>
      <c r="K133" s="47"/>
      <c r="L133" s="47"/>
      <c r="M133" s="48"/>
      <c r="N133" s="49" t="str">
        <f aca="false">IF(C133="","",IFERROR(VLOOKUP(C133,Lists!$A$5:$C$8,2,FALSE()),""))</f>
        <v/>
      </c>
      <c r="O133" s="49" t="str">
        <f aca="false">IF(C133="","",IFERROR(VLOOKUP(C133,Lists!$A$5:$C$8,3,FALSE()),""))</f>
        <v/>
      </c>
      <c r="P133" s="50"/>
      <c r="Q133" s="50"/>
      <c r="R133" s="51" t="str">
        <f aca="false">IF(OR(I133="",L133="",M133="",N133="",O133=""),"",IF(F133="Long",(L133-I133)/N133*O133*M133,IF(F133="Short",(I133-L133)/N133*O133*M133,"")))</f>
        <v/>
      </c>
      <c r="S133" s="51" t="str">
        <f aca="false">IF(R133="","",R133-P133-Q133)</f>
        <v/>
      </c>
      <c r="T133" s="51" t="str">
        <f aca="false">IF(OR(I133="",J133="",M133="",N133="",O133=""),"",ABS(I133-J133)/N133*O133*M133+P133+Q133)</f>
        <v/>
      </c>
      <c r="U133" s="52" t="str">
        <f aca="false">IF(OR(S133="",T133="",T133=0),"",S133/T133)</f>
        <v/>
      </c>
      <c r="V133" s="50"/>
      <c r="W133" s="50"/>
      <c r="X133" s="44"/>
      <c r="Y133" s="44"/>
      <c r="Z133" s="44"/>
      <c r="AA133" s="44"/>
      <c r="AB133" s="52" t="str">
        <f aca="false">IF(OR(B133="",X133&lt;&gt;"Yes"),"",SUMIFS($U$6:U133,$X$6:X133,"Yes"))</f>
        <v/>
      </c>
      <c r="AC133" s="52" t="str">
        <f aca="false">IF(AB133="","",MAX($AB$6:AB133))</f>
        <v/>
      </c>
      <c r="AD133" s="52" t="str">
        <f aca="false">IF(AB133="","",AB133-AC133)</f>
        <v/>
      </c>
    </row>
    <row r="134" customFormat="false" ht="15" hidden="false" customHeight="false" outlineLevel="0" collapsed="false">
      <c r="A134" s="44"/>
      <c r="B134" s="45"/>
      <c r="C134" s="44"/>
      <c r="D134" s="44"/>
      <c r="E134" s="44"/>
      <c r="F134" s="44"/>
      <c r="G134" s="44"/>
      <c r="H134" s="44"/>
      <c r="I134" s="47"/>
      <c r="J134" s="47"/>
      <c r="K134" s="47"/>
      <c r="L134" s="47"/>
      <c r="M134" s="48"/>
      <c r="N134" s="49" t="str">
        <f aca="false">IF(C134="","",IFERROR(VLOOKUP(C134,Lists!$A$5:$C$8,2,FALSE()),""))</f>
        <v/>
      </c>
      <c r="O134" s="49" t="str">
        <f aca="false">IF(C134="","",IFERROR(VLOOKUP(C134,Lists!$A$5:$C$8,3,FALSE()),""))</f>
        <v/>
      </c>
      <c r="P134" s="50"/>
      <c r="Q134" s="50"/>
      <c r="R134" s="51" t="str">
        <f aca="false">IF(OR(I134="",L134="",M134="",N134="",O134=""),"",IF(F134="Long",(L134-I134)/N134*O134*M134,IF(F134="Short",(I134-L134)/N134*O134*M134,"")))</f>
        <v/>
      </c>
      <c r="S134" s="51" t="str">
        <f aca="false">IF(R134="","",R134-P134-Q134)</f>
        <v/>
      </c>
      <c r="T134" s="51" t="str">
        <f aca="false">IF(OR(I134="",J134="",M134="",N134="",O134=""),"",ABS(I134-J134)/N134*O134*M134+P134+Q134)</f>
        <v/>
      </c>
      <c r="U134" s="52" t="str">
        <f aca="false">IF(OR(S134="",T134="",T134=0),"",S134/T134)</f>
        <v/>
      </c>
      <c r="V134" s="50"/>
      <c r="W134" s="50"/>
      <c r="X134" s="44"/>
      <c r="Y134" s="44"/>
      <c r="Z134" s="44"/>
      <c r="AA134" s="44"/>
      <c r="AB134" s="52" t="str">
        <f aca="false">IF(OR(B134="",X134&lt;&gt;"Yes"),"",SUMIFS($U$6:U134,$X$6:X134,"Yes"))</f>
        <v/>
      </c>
      <c r="AC134" s="52" t="str">
        <f aca="false">IF(AB134="","",MAX($AB$6:AB134))</f>
        <v/>
      </c>
      <c r="AD134" s="52" t="str">
        <f aca="false">IF(AB134="","",AB134-AC134)</f>
        <v/>
      </c>
    </row>
    <row r="135" customFormat="false" ht="15" hidden="false" customHeight="false" outlineLevel="0" collapsed="false">
      <c r="A135" s="44"/>
      <c r="B135" s="45"/>
      <c r="C135" s="44"/>
      <c r="D135" s="44"/>
      <c r="E135" s="44"/>
      <c r="F135" s="44"/>
      <c r="G135" s="44"/>
      <c r="H135" s="44"/>
      <c r="I135" s="47"/>
      <c r="J135" s="47"/>
      <c r="K135" s="47"/>
      <c r="L135" s="47"/>
      <c r="M135" s="48"/>
      <c r="N135" s="49" t="str">
        <f aca="false">IF(C135="","",IFERROR(VLOOKUP(C135,Lists!$A$5:$C$8,2,FALSE()),""))</f>
        <v/>
      </c>
      <c r="O135" s="49" t="str">
        <f aca="false">IF(C135="","",IFERROR(VLOOKUP(C135,Lists!$A$5:$C$8,3,FALSE()),""))</f>
        <v/>
      </c>
      <c r="P135" s="50"/>
      <c r="Q135" s="50"/>
      <c r="R135" s="51" t="str">
        <f aca="false">IF(OR(I135="",L135="",M135="",N135="",O135=""),"",IF(F135="Long",(L135-I135)/N135*O135*M135,IF(F135="Short",(I135-L135)/N135*O135*M135,"")))</f>
        <v/>
      </c>
      <c r="S135" s="51" t="str">
        <f aca="false">IF(R135="","",R135-P135-Q135)</f>
        <v/>
      </c>
      <c r="T135" s="51" t="str">
        <f aca="false">IF(OR(I135="",J135="",M135="",N135="",O135=""),"",ABS(I135-J135)/N135*O135*M135+P135+Q135)</f>
        <v/>
      </c>
      <c r="U135" s="52" t="str">
        <f aca="false">IF(OR(S135="",T135="",T135=0),"",S135/T135)</f>
        <v/>
      </c>
      <c r="V135" s="50"/>
      <c r="W135" s="50"/>
      <c r="X135" s="44"/>
      <c r="Y135" s="44"/>
      <c r="Z135" s="44"/>
      <c r="AA135" s="44"/>
      <c r="AB135" s="52" t="str">
        <f aca="false">IF(OR(B135="",X135&lt;&gt;"Yes"),"",SUMIFS($U$6:U135,$X$6:X135,"Yes"))</f>
        <v/>
      </c>
      <c r="AC135" s="52" t="str">
        <f aca="false">IF(AB135="","",MAX($AB$6:AB135))</f>
        <v/>
      </c>
      <c r="AD135" s="52" t="str">
        <f aca="false">IF(AB135="","",AB135-AC135)</f>
        <v/>
      </c>
    </row>
    <row r="136" customFormat="false" ht="15" hidden="false" customHeight="false" outlineLevel="0" collapsed="false">
      <c r="A136" s="44"/>
      <c r="B136" s="45"/>
      <c r="C136" s="44"/>
      <c r="D136" s="44"/>
      <c r="E136" s="44"/>
      <c r="F136" s="44"/>
      <c r="G136" s="44"/>
      <c r="H136" s="44"/>
      <c r="I136" s="47"/>
      <c r="J136" s="47"/>
      <c r="K136" s="47"/>
      <c r="L136" s="47"/>
      <c r="M136" s="48"/>
      <c r="N136" s="49" t="str">
        <f aca="false">IF(C136="","",IFERROR(VLOOKUP(C136,Lists!$A$5:$C$8,2,FALSE()),""))</f>
        <v/>
      </c>
      <c r="O136" s="49" t="str">
        <f aca="false">IF(C136="","",IFERROR(VLOOKUP(C136,Lists!$A$5:$C$8,3,FALSE()),""))</f>
        <v/>
      </c>
      <c r="P136" s="50"/>
      <c r="Q136" s="50"/>
      <c r="R136" s="51" t="str">
        <f aca="false">IF(OR(I136="",L136="",M136="",N136="",O136=""),"",IF(F136="Long",(L136-I136)/N136*O136*M136,IF(F136="Short",(I136-L136)/N136*O136*M136,"")))</f>
        <v/>
      </c>
      <c r="S136" s="51" t="str">
        <f aca="false">IF(R136="","",R136-P136-Q136)</f>
        <v/>
      </c>
      <c r="T136" s="51" t="str">
        <f aca="false">IF(OR(I136="",J136="",M136="",N136="",O136=""),"",ABS(I136-J136)/N136*O136*M136+P136+Q136)</f>
        <v/>
      </c>
      <c r="U136" s="52" t="str">
        <f aca="false">IF(OR(S136="",T136="",T136=0),"",S136/T136)</f>
        <v/>
      </c>
      <c r="V136" s="50"/>
      <c r="W136" s="50"/>
      <c r="X136" s="44"/>
      <c r="Y136" s="44"/>
      <c r="Z136" s="44"/>
      <c r="AA136" s="44"/>
      <c r="AB136" s="52" t="str">
        <f aca="false">IF(OR(B136="",X136&lt;&gt;"Yes"),"",SUMIFS($U$6:U136,$X$6:X136,"Yes"))</f>
        <v/>
      </c>
      <c r="AC136" s="52" t="str">
        <f aca="false">IF(AB136="","",MAX($AB$6:AB136))</f>
        <v/>
      </c>
      <c r="AD136" s="52" t="str">
        <f aca="false">IF(AB136="","",AB136-AC136)</f>
        <v/>
      </c>
    </row>
    <row r="137" customFormat="false" ht="15" hidden="false" customHeight="false" outlineLevel="0" collapsed="false">
      <c r="A137" s="44"/>
      <c r="B137" s="45"/>
      <c r="C137" s="44"/>
      <c r="D137" s="44"/>
      <c r="E137" s="44"/>
      <c r="F137" s="44"/>
      <c r="G137" s="44"/>
      <c r="H137" s="44"/>
      <c r="I137" s="47"/>
      <c r="J137" s="47"/>
      <c r="K137" s="47"/>
      <c r="L137" s="47"/>
      <c r="M137" s="48"/>
      <c r="N137" s="49" t="str">
        <f aca="false">IF(C137="","",IFERROR(VLOOKUP(C137,Lists!$A$5:$C$8,2,FALSE()),""))</f>
        <v/>
      </c>
      <c r="O137" s="49" t="str">
        <f aca="false">IF(C137="","",IFERROR(VLOOKUP(C137,Lists!$A$5:$C$8,3,FALSE()),""))</f>
        <v/>
      </c>
      <c r="P137" s="50"/>
      <c r="Q137" s="50"/>
      <c r="R137" s="51" t="str">
        <f aca="false">IF(OR(I137="",L137="",M137="",N137="",O137=""),"",IF(F137="Long",(L137-I137)/N137*O137*M137,IF(F137="Short",(I137-L137)/N137*O137*M137,"")))</f>
        <v/>
      </c>
      <c r="S137" s="51" t="str">
        <f aca="false">IF(R137="","",R137-P137-Q137)</f>
        <v/>
      </c>
      <c r="T137" s="51" t="str">
        <f aca="false">IF(OR(I137="",J137="",M137="",N137="",O137=""),"",ABS(I137-J137)/N137*O137*M137+P137+Q137)</f>
        <v/>
      </c>
      <c r="U137" s="52" t="str">
        <f aca="false">IF(OR(S137="",T137="",T137=0),"",S137/T137)</f>
        <v/>
      </c>
      <c r="V137" s="50"/>
      <c r="W137" s="50"/>
      <c r="X137" s="44"/>
      <c r="Y137" s="44"/>
      <c r="Z137" s="44"/>
      <c r="AA137" s="44"/>
      <c r="AB137" s="52" t="str">
        <f aca="false">IF(OR(B137="",X137&lt;&gt;"Yes"),"",SUMIFS($U$6:U137,$X$6:X137,"Yes"))</f>
        <v/>
      </c>
      <c r="AC137" s="52" t="str">
        <f aca="false">IF(AB137="","",MAX($AB$6:AB137))</f>
        <v/>
      </c>
      <c r="AD137" s="52" t="str">
        <f aca="false">IF(AB137="","",AB137-AC137)</f>
        <v/>
      </c>
    </row>
    <row r="138" customFormat="false" ht="15" hidden="false" customHeight="false" outlineLevel="0" collapsed="false">
      <c r="A138" s="44"/>
      <c r="B138" s="45"/>
      <c r="C138" s="44"/>
      <c r="D138" s="44"/>
      <c r="E138" s="44"/>
      <c r="F138" s="44"/>
      <c r="G138" s="44"/>
      <c r="H138" s="44"/>
      <c r="I138" s="47"/>
      <c r="J138" s="47"/>
      <c r="K138" s="47"/>
      <c r="L138" s="47"/>
      <c r="M138" s="48"/>
      <c r="N138" s="49" t="str">
        <f aca="false">IF(C138="","",IFERROR(VLOOKUP(C138,Lists!$A$5:$C$8,2,FALSE()),""))</f>
        <v/>
      </c>
      <c r="O138" s="49" t="str">
        <f aca="false">IF(C138="","",IFERROR(VLOOKUP(C138,Lists!$A$5:$C$8,3,FALSE()),""))</f>
        <v/>
      </c>
      <c r="P138" s="50"/>
      <c r="Q138" s="50"/>
      <c r="R138" s="51" t="str">
        <f aca="false">IF(OR(I138="",L138="",M138="",N138="",O138=""),"",IF(F138="Long",(L138-I138)/N138*O138*M138,IF(F138="Short",(I138-L138)/N138*O138*M138,"")))</f>
        <v/>
      </c>
      <c r="S138" s="51" t="str">
        <f aca="false">IF(R138="","",R138-P138-Q138)</f>
        <v/>
      </c>
      <c r="T138" s="51" t="str">
        <f aca="false">IF(OR(I138="",J138="",M138="",N138="",O138=""),"",ABS(I138-J138)/N138*O138*M138+P138+Q138)</f>
        <v/>
      </c>
      <c r="U138" s="52" t="str">
        <f aca="false">IF(OR(S138="",T138="",T138=0),"",S138/T138)</f>
        <v/>
      </c>
      <c r="V138" s="50"/>
      <c r="W138" s="50"/>
      <c r="X138" s="44"/>
      <c r="Y138" s="44"/>
      <c r="Z138" s="44"/>
      <c r="AA138" s="44"/>
      <c r="AB138" s="52" t="str">
        <f aca="false">IF(OR(B138="",X138&lt;&gt;"Yes"),"",SUMIFS($U$6:U138,$X$6:X138,"Yes"))</f>
        <v/>
      </c>
      <c r="AC138" s="52" t="str">
        <f aca="false">IF(AB138="","",MAX($AB$6:AB138))</f>
        <v/>
      </c>
      <c r="AD138" s="52" t="str">
        <f aca="false">IF(AB138="","",AB138-AC138)</f>
        <v/>
      </c>
    </row>
    <row r="139" customFormat="false" ht="15" hidden="false" customHeight="false" outlineLevel="0" collapsed="false">
      <c r="A139" s="44"/>
      <c r="B139" s="45"/>
      <c r="C139" s="44"/>
      <c r="D139" s="44"/>
      <c r="E139" s="44"/>
      <c r="F139" s="44"/>
      <c r="G139" s="44"/>
      <c r="H139" s="44"/>
      <c r="I139" s="47"/>
      <c r="J139" s="47"/>
      <c r="K139" s="47"/>
      <c r="L139" s="47"/>
      <c r="M139" s="48"/>
      <c r="N139" s="49" t="str">
        <f aca="false">IF(C139="","",IFERROR(VLOOKUP(C139,Lists!$A$5:$C$8,2,FALSE()),""))</f>
        <v/>
      </c>
      <c r="O139" s="49" t="str">
        <f aca="false">IF(C139="","",IFERROR(VLOOKUP(C139,Lists!$A$5:$C$8,3,FALSE()),""))</f>
        <v/>
      </c>
      <c r="P139" s="50"/>
      <c r="Q139" s="50"/>
      <c r="R139" s="51" t="str">
        <f aca="false">IF(OR(I139="",L139="",M139="",N139="",O139=""),"",IF(F139="Long",(L139-I139)/N139*O139*M139,IF(F139="Short",(I139-L139)/N139*O139*M139,"")))</f>
        <v/>
      </c>
      <c r="S139" s="51" t="str">
        <f aca="false">IF(R139="","",R139-P139-Q139)</f>
        <v/>
      </c>
      <c r="T139" s="51" t="str">
        <f aca="false">IF(OR(I139="",J139="",M139="",N139="",O139=""),"",ABS(I139-J139)/N139*O139*M139+P139+Q139)</f>
        <v/>
      </c>
      <c r="U139" s="52" t="str">
        <f aca="false">IF(OR(S139="",T139="",T139=0),"",S139/T139)</f>
        <v/>
      </c>
      <c r="V139" s="50"/>
      <c r="W139" s="50"/>
      <c r="X139" s="44"/>
      <c r="Y139" s="44"/>
      <c r="Z139" s="44"/>
      <c r="AA139" s="44"/>
      <c r="AB139" s="52" t="str">
        <f aca="false">IF(OR(B139="",X139&lt;&gt;"Yes"),"",SUMIFS($U$6:U139,$X$6:X139,"Yes"))</f>
        <v/>
      </c>
      <c r="AC139" s="52" t="str">
        <f aca="false">IF(AB139="","",MAX($AB$6:AB139))</f>
        <v/>
      </c>
      <c r="AD139" s="52" t="str">
        <f aca="false">IF(AB139="","",AB139-AC139)</f>
        <v/>
      </c>
    </row>
    <row r="140" customFormat="false" ht="15" hidden="false" customHeight="false" outlineLevel="0" collapsed="false">
      <c r="A140" s="44"/>
      <c r="B140" s="45"/>
      <c r="C140" s="44"/>
      <c r="D140" s="44"/>
      <c r="E140" s="44"/>
      <c r="F140" s="44"/>
      <c r="G140" s="44"/>
      <c r="H140" s="44"/>
      <c r="I140" s="47"/>
      <c r="J140" s="47"/>
      <c r="K140" s="47"/>
      <c r="L140" s="47"/>
      <c r="M140" s="48"/>
      <c r="N140" s="49" t="str">
        <f aca="false">IF(C140="","",IFERROR(VLOOKUP(C140,Lists!$A$5:$C$8,2,FALSE()),""))</f>
        <v/>
      </c>
      <c r="O140" s="49" t="str">
        <f aca="false">IF(C140="","",IFERROR(VLOOKUP(C140,Lists!$A$5:$C$8,3,FALSE()),""))</f>
        <v/>
      </c>
      <c r="P140" s="50"/>
      <c r="Q140" s="50"/>
      <c r="R140" s="51" t="str">
        <f aca="false">IF(OR(I140="",L140="",M140="",N140="",O140=""),"",IF(F140="Long",(L140-I140)/N140*O140*M140,IF(F140="Short",(I140-L140)/N140*O140*M140,"")))</f>
        <v/>
      </c>
      <c r="S140" s="51" t="str">
        <f aca="false">IF(R140="","",R140-P140-Q140)</f>
        <v/>
      </c>
      <c r="T140" s="51" t="str">
        <f aca="false">IF(OR(I140="",J140="",M140="",N140="",O140=""),"",ABS(I140-J140)/N140*O140*M140+P140+Q140)</f>
        <v/>
      </c>
      <c r="U140" s="52" t="str">
        <f aca="false">IF(OR(S140="",T140="",T140=0),"",S140/T140)</f>
        <v/>
      </c>
      <c r="V140" s="50"/>
      <c r="W140" s="50"/>
      <c r="X140" s="44"/>
      <c r="Y140" s="44"/>
      <c r="Z140" s="44"/>
      <c r="AA140" s="44"/>
      <c r="AB140" s="52" t="str">
        <f aca="false">IF(OR(B140="",X140&lt;&gt;"Yes"),"",SUMIFS($U$6:U140,$X$6:X140,"Yes"))</f>
        <v/>
      </c>
      <c r="AC140" s="52" t="str">
        <f aca="false">IF(AB140="","",MAX($AB$6:AB140))</f>
        <v/>
      </c>
      <c r="AD140" s="52" t="str">
        <f aca="false">IF(AB140="","",AB140-AC140)</f>
        <v/>
      </c>
    </row>
    <row r="141" customFormat="false" ht="15" hidden="false" customHeight="false" outlineLevel="0" collapsed="false">
      <c r="A141" s="44"/>
      <c r="B141" s="45"/>
      <c r="C141" s="44"/>
      <c r="D141" s="44"/>
      <c r="E141" s="44"/>
      <c r="F141" s="44"/>
      <c r="G141" s="44"/>
      <c r="H141" s="44"/>
      <c r="I141" s="47"/>
      <c r="J141" s="47"/>
      <c r="K141" s="47"/>
      <c r="L141" s="47"/>
      <c r="M141" s="48"/>
      <c r="N141" s="49" t="str">
        <f aca="false">IF(C141="","",IFERROR(VLOOKUP(C141,Lists!$A$5:$C$8,2,FALSE()),""))</f>
        <v/>
      </c>
      <c r="O141" s="49" t="str">
        <f aca="false">IF(C141="","",IFERROR(VLOOKUP(C141,Lists!$A$5:$C$8,3,FALSE()),""))</f>
        <v/>
      </c>
      <c r="P141" s="50"/>
      <c r="Q141" s="50"/>
      <c r="R141" s="51" t="str">
        <f aca="false">IF(OR(I141="",L141="",M141="",N141="",O141=""),"",IF(F141="Long",(L141-I141)/N141*O141*M141,IF(F141="Short",(I141-L141)/N141*O141*M141,"")))</f>
        <v/>
      </c>
      <c r="S141" s="51" t="str">
        <f aca="false">IF(R141="","",R141-P141-Q141)</f>
        <v/>
      </c>
      <c r="T141" s="51" t="str">
        <f aca="false">IF(OR(I141="",J141="",M141="",N141="",O141=""),"",ABS(I141-J141)/N141*O141*M141+P141+Q141)</f>
        <v/>
      </c>
      <c r="U141" s="52" t="str">
        <f aca="false">IF(OR(S141="",T141="",T141=0),"",S141/T141)</f>
        <v/>
      </c>
      <c r="V141" s="50"/>
      <c r="W141" s="50"/>
      <c r="X141" s="44"/>
      <c r="Y141" s="44"/>
      <c r="Z141" s="44"/>
      <c r="AA141" s="44"/>
      <c r="AB141" s="52" t="str">
        <f aca="false">IF(OR(B141="",X141&lt;&gt;"Yes"),"",SUMIFS($U$6:U141,$X$6:X141,"Yes"))</f>
        <v/>
      </c>
      <c r="AC141" s="52" t="str">
        <f aca="false">IF(AB141="","",MAX($AB$6:AB141))</f>
        <v/>
      </c>
      <c r="AD141" s="52" t="str">
        <f aca="false">IF(AB141="","",AB141-AC141)</f>
        <v/>
      </c>
    </row>
    <row r="142" customFormat="false" ht="15" hidden="false" customHeight="false" outlineLevel="0" collapsed="false">
      <c r="A142" s="44"/>
      <c r="B142" s="45"/>
      <c r="C142" s="44"/>
      <c r="D142" s="44"/>
      <c r="E142" s="44"/>
      <c r="F142" s="44"/>
      <c r="G142" s="44"/>
      <c r="H142" s="44"/>
      <c r="I142" s="47"/>
      <c r="J142" s="47"/>
      <c r="K142" s="47"/>
      <c r="L142" s="47"/>
      <c r="M142" s="48"/>
      <c r="N142" s="49" t="str">
        <f aca="false">IF(C142="","",IFERROR(VLOOKUP(C142,Lists!$A$5:$C$8,2,FALSE()),""))</f>
        <v/>
      </c>
      <c r="O142" s="49" t="str">
        <f aca="false">IF(C142="","",IFERROR(VLOOKUP(C142,Lists!$A$5:$C$8,3,FALSE()),""))</f>
        <v/>
      </c>
      <c r="P142" s="50"/>
      <c r="Q142" s="50"/>
      <c r="R142" s="51" t="str">
        <f aca="false">IF(OR(I142="",L142="",M142="",N142="",O142=""),"",IF(F142="Long",(L142-I142)/N142*O142*M142,IF(F142="Short",(I142-L142)/N142*O142*M142,"")))</f>
        <v/>
      </c>
      <c r="S142" s="51" t="str">
        <f aca="false">IF(R142="","",R142-P142-Q142)</f>
        <v/>
      </c>
      <c r="T142" s="51" t="str">
        <f aca="false">IF(OR(I142="",J142="",M142="",N142="",O142=""),"",ABS(I142-J142)/N142*O142*M142+P142+Q142)</f>
        <v/>
      </c>
      <c r="U142" s="52" t="str">
        <f aca="false">IF(OR(S142="",T142="",T142=0),"",S142/T142)</f>
        <v/>
      </c>
      <c r="V142" s="50"/>
      <c r="W142" s="50"/>
      <c r="X142" s="44"/>
      <c r="Y142" s="44"/>
      <c r="Z142" s="44"/>
      <c r="AA142" s="44"/>
      <c r="AB142" s="52" t="str">
        <f aca="false">IF(OR(B142="",X142&lt;&gt;"Yes"),"",SUMIFS($U$6:U142,$X$6:X142,"Yes"))</f>
        <v/>
      </c>
      <c r="AC142" s="52" t="str">
        <f aca="false">IF(AB142="","",MAX($AB$6:AB142))</f>
        <v/>
      </c>
      <c r="AD142" s="52" t="str">
        <f aca="false">IF(AB142="","",AB142-AC142)</f>
        <v/>
      </c>
    </row>
    <row r="143" customFormat="false" ht="15" hidden="false" customHeight="false" outlineLevel="0" collapsed="false">
      <c r="A143" s="44"/>
      <c r="B143" s="45"/>
      <c r="C143" s="44"/>
      <c r="D143" s="44"/>
      <c r="E143" s="44"/>
      <c r="F143" s="44"/>
      <c r="G143" s="44"/>
      <c r="H143" s="44"/>
      <c r="I143" s="47"/>
      <c r="J143" s="47"/>
      <c r="K143" s="47"/>
      <c r="L143" s="47"/>
      <c r="M143" s="48"/>
      <c r="N143" s="49" t="str">
        <f aca="false">IF(C143="","",IFERROR(VLOOKUP(C143,Lists!$A$5:$C$8,2,FALSE()),""))</f>
        <v/>
      </c>
      <c r="O143" s="49" t="str">
        <f aca="false">IF(C143="","",IFERROR(VLOOKUP(C143,Lists!$A$5:$C$8,3,FALSE()),""))</f>
        <v/>
      </c>
      <c r="P143" s="50"/>
      <c r="Q143" s="50"/>
      <c r="R143" s="51" t="str">
        <f aca="false">IF(OR(I143="",L143="",M143="",N143="",O143=""),"",IF(F143="Long",(L143-I143)/N143*O143*M143,IF(F143="Short",(I143-L143)/N143*O143*M143,"")))</f>
        <v/>
      </c>
      <c r="S143" s="51" t="str">
        <f aca="false">IF(R143="","",R143-P143-Q143)</f>
        <v/>
      </c>
      <c r="T143" s="51" t="str">
        <f aca="false">IF(OR(I143="",J143="",M143="",N143="",O143=""),"",ABS(I143-J143)/N143*O143*M143+P143+Q143)</f>
        <v/>
      </c>
      <c r="U143" s="52" t="str">
        <f aca="false">IF(OR(S143="",T143="",T143=0),"",S143/T143)</f>
        <v/>
      </c>
      <c r="V143" s="50"/>
      <c r="W143" s="50"/>
      <c r="X143" s="44"/>
      <c r="Y143" s="44"/>
      <c r="Z143" s="44"/>
      <c r="AA143" s="44"/>
      <c r="AB143" s="52" t="str">
        <f aca="false">IF(OR(B143="",X143&lt;&gt;"Yes"),"",SUMIFS($U$6:U143,$X$6:X143,"Yes"))</f>
        <v/>
      </c>
      <c r="AC143" s="52" t="str">
        <f aca="false">IF(AB143="","",MAX($AB$6:AB143))</f>
        <v/>
      </c>
      <c r="AD143" s="52" t="str">
        <f aca="false">IF(AB143="","",AB143-AC143)</f>
        <v/>
      </c>
    </row>
    <row r="144" customFormat="false" ht="15" hidden="false" customHeight="false" outlineLevel="0" collapsed="false">
      <c r="A144" s="44"/>
      <c r="B144" s="45"/>
      <c r="C144" s="44"/>
      <c r="D144" s="44"/>
      <c r="E144" s="44"/>
      <c r="F144" s="44"/>
      <c r="G144" s="44"/>
      <c r="H144" s="44"/>
      <c r="I144" s="47"/>
      <c r="J144" s="47"/>
      <c r="K144" s="47"/>
      <c r="L144" s="47"/>
      <c r="M144" s="48"/>
      <c r="N144" s="49" t="str">
        <f aca="false">IF(C144="","",IFERROR(VLOOKUP(C144,Lists!$A$5:$C$8,2,FALSE()),""))</f>
        <v/>
      </c>
      <c r="O144" s="49" t="str">
        <f aca="false">IF(C144="","",IFERROR(VLOOKUP(C144,Lists!$A$5:$C$8,3,FALSE()),""))</f>
        <v/>
      </c>
      <c r="P144" s="50"/>
      <c r="Q144" s="50"/>
      <c r="R144" s="51" t="str">
        <f aca="false">IF(OR(I144="",L144="",M144="",N144="",O144=""),"",IF(F144="Long",(L144-I144)/N144*O144*M144,IF(F144="Short",(I144-L144)/N144*O144*M144,"")))</f>
        <v/>
      </c>
      <c r="S144" s="51" t="str">
        <f aca="false">IF(R144="","",R144-P144-Q144)</f>
        <v/>
      </c>
      <c r="T144" s="51" t="str">
        <f aca="false">IF(OR(I144="",J144="",M144="",N144="",O144=""),"",ABS(I144-J144)/N144*O144*M144+P144+Q144)</f>
        <v/>
      </c>
      <c r="U144" s="52" t="str">
        <f aca="false">IF(OR(S144="",T144="",T144=0),"",S144/T144)</f>
        <v/>
      </c>
      <c r="V144" s="50"/>
      <c r="W144" s="50"/>
      <c r="X144" s="44"/>
      <c r="Y144" s="44"/>
      <c r="Z144" s="44"/>
      <c r="AA144" s="44"/>
      <c r="AB144" s="52" t="str">
        <f aca="false">IF(OR(B144="",X144&lt;&gt;"Yes"),"",SUMIFS($U$6:U144,$X$6:X144,"Yes"))</f>
        <v/>
      </c>
      <c r="AC144" s="52" t="str">
        <f aca="false">IF(AB144="","",MAX($AB$6:AB144))</f>
        <v/>
      </c>
      <c r="AD144" s="52" t="str">
        <f aca="false">IF(AB144="","",AB144-AC144)</f>
        <v/>
      </c>
    </row>
    <row r="145" customFormat="false" ht="15" hidden="false" customHeight="false" outlineLevel="0" collapsed="false">
      <c r="A145" s="44"/>
      <c r="B145" s="45"/>
      <c r="C145" s="44"/>
      <c r="D145" s="44"/>
      <c r="E145" s="44"/>
      <c r="F145" s="44"/>
      <c r="G145" s="44"/>
      <c r="H145" s="44"/>
      <c r="I145" s="47"/>
      <c r="J145" s="47"/>
      <c r="K145" s="47"/>
      <c r="L145" s="47"/>
      <c r="M145" s="48"/>
      <c r="N145" s="49" t="str">
        <f aca="false">IF(C145="","",IFERROR(VLOOKUP(C145,Lists!$A$5:$C$8,2,FALSE()),""))</f>
        <v/>
      </c>
      <c r="O145" s="49" t="str">
        <f aca="false">IF(C145="","",IFERROR(VLOOKUP(C145,Lists!$A$5:$C$8,3,FALSE()),""))</f>
        <v/>
      </c>
      <c r="P145" s="50"/>
      <c r="Q145" s="50"/>
      <c r="R145" s="51" t="str">
        <f aca="false">IF(OR(I145="",L145="",M145="",N145="",O145=""),"",IF(F145="Long",(L145-I145)/N145*O145*M145,IF(F145="Short",(I145-L145)/N145*O145*M145,"")))</f>
        <v/>
      </c>
      <c r="S145" s="51" t="str">
        <f aca="false">IF(R145="","",R145-P145-Q145)</f>
        <v/>
      </c>
      <c r="T145" s="51" t="str">
        <f aca="false">IF(OR(I145="",J145="",M145="",N145="",O145=""),"",ABS(I145-J145)/N145*O145*M145+P145+Q145)</f>
        <v/>
      </c>
      <c r="U145" s="52" t="str">
        <f aca="false">IF(OR(S145="",T145="",T145=0),"",S145/T145)</f>
        <v/>
      </c>
      <c r="V145" s="50"/>
      <c r="W145" s="50"/>
      <c r="X145" s="44"/>
      <c r="Y145" s="44"/>
      <c r="Z145" s="44"/>
      <c r="AA145" s="44"/>
      <c r="AB145" s="52" t="str">
        <f aca="false">IF(OR(B145="",X145&lt;&gt;"Yes"),"",SUMIFS($U$6:U145,$X$6:X145,"Yes"))</f>
        <v/>
      </c>
      <c r="AC145" s="52" t="str">
        <f aca="false">IF(AB145="","",MAX($AB$6:AB145))</f>
        <v/>
      </c>
      <c r="AD145" s="52" t="str">
        <f aca="false">IF(AB145="","",AB145-AC145)</f>
        <v/>
      </c>
    </row>
    <row r="146" customFormat="false" ht="15" hidden="false" customHeight="false" outlineLevel="0" collapsed="false">
      <c r="A146" s="44"/>
      <c r="B146" s="45"/>
      <c r="C146" s="44"/>
      <c r="D146" s="44"/>
      <c r="E146" s="44"/>
      <c r="F146" s="44"/>
      <c r="G146" s="44"/>
      <c r="H146" s="44"/>
      <c r="I146" s="47"/>
      <c r="J146" s="47"/>
      <c r="K146" s="47"/>
      <c r="L146" s="47"/>
      <c r="M146" s="48"/>
      <c r="N146" s="49" t="str">
        <f aca="false">IF(C146="","",IFERROR(VLOOKUP(C146,Lists!$A$5:$C$8,2,FALSE()),""))</f>
        <v/>
      </c>
      <c r="O146" s="49" t="str">
        <f aca="false">IF(C146="","",IFERROR(VLOOKUP(C146,Lists!$A$5:$C$8,3,FALSE()),""))</f>
        <v/>
      </c>
      <c r="P146" s="50"/>
      <c r="Q146" s="50"/>
      <c r="R146" s="51" t="str">
        <f aca="false">IF(OR(I146="",L146="",M146="",N146="",O146=""),"",IF(F146="Long",(L146-I146)/N146*O146*M146,IF(F146="Short",(I146-L146)/N146*O146*M146,"")))</f>
        <v/>
      </c>
      <c r="S146" s="51" t="str">
        <f aca="false">IF(R146="","",R146-P146-Q146)</f>
        <v/>
      </c>
      <c r="T146" s="51" t="str">
        <f aca="false">IF(OR(I146="",J146="",M146="",N146="",O146=""),"",ABS(I146-J146)/N146*O146*M146+P146+Q146)</f>
        <v/>
      </c>
      <c r="U146" s="52" t="str">
        <f aca="false">IF(OR(S146="",T146="",T146=0),"",S146/T146)</f>
        <v/>
      </c>
      <c r="V146" s="50"/>
      <c r="W146" s="50"/>
      <c r="X146" s="44"/>
      <c r="Y146" s="44"/>
      <c r="Z146" s="44"/>
      <c r="AA146" s="44"/>
      <c r="AB146" s="52" t="str">
        <f aca="false">IF(OR(B146="",X146&lt;&gt;"Yes"),"",SUMIFS($U$6:U146,$X$6:X146,"Yes"))</f>
        <v/>
      </c>
      <c r="AC146" s="52" t="str">
        <f aca="false">IF(AB146="","",MAX($AB$6:AB146))</f>
        <v/>
      </c>
      <c r="AD146" s="52" t="str">
        <f aca="false">IF(AB146="","",AB146-AC146)</f>
        <v/>
      </c>
    </row>
    <row r="147" customFormat="false" ht="15" hidden="false" customHeight="false" outlineLevel="0" collapsed="false">
      <c r="A147" s="44"/>
      <c r="B147" s="45"/>
      <c r="C147" s="44"/>
      <c r="D147" s="44"/>
      <c r="E147" s="44"/>
      <c r="F147" s="44"/>
      <c r="G147" s="44"/>
      <c r="H147" s="44"/>
      <c r="I147" s="47"/>
      <c r="J147" s="47"/>
      <c r="K147" s="47"/>
      <c r="L147" s="47"/>
      <c r="M147" s="48"/>
      <c r="N147" s="49" t="str">
        <f aca="false">IF(C147="","",IFERROR(VLOOKUP(C147,Lists!$A$5:$C$8,2,FALSE()),""))</f>
        <v/>
      </c>
      <c r="O147" s="49" t="str">
        <f aca="false">IF(C147="","",IFERROR(VLOOKUP(C147,Lists!$A$5:$C$8,3,FALSE()),""))</f>
        <v/>
      </c>
      <c r="P147" s="50"/>
      <c r="Q147" s="50"/>
      <c r="R147" s="51" t="str">
        <f aca="false">IF(OR(I147="",L147="",M147="",N147="",O147=""),"",IF(F147="Long",(L147-I147)/N147*O147*M147,IF(F147="Short",(I147-L147)/N147*O147*M147,"")))</f>
        <v/>
      </c>
      <c r="S147" s="51" t="str">
        <f aca="false">IF(R147="","",R147-P147-Q147)</f>
        <v/>
      </c>
      <c r="T147" s="51" t="str">
        <f aca="false">IF(OR(I147="",J147="",M147="",N147="",O147=""),"",ABS(I147-J147)/N147*O147*M147+P147+Q147)</f>
        <v/>
      </c>
      <c r="U147" s="52" t="str">
        <f aca="false">IF(OR(S147="",T147="",T147=0),"",S147/T147)</f>
        <v/>
      </c>
      <c r="V147" s="50"/>
      <c r="W147" s="50"/>
      <c r="X147" s="44"/>
      <c r="Y147" s="44"/>
      <c r="Z147" s="44"/>
      <c r="AA147" s="44"/>
      <c r="AB147" s="52" t="str">
        <f aca="false">IF(OR(B147="",X147&lt;&gt;"Yes"),"",SUMIFS($U$6:U147,$X$6:X147,"Yes"))</f>
        <v/>
      </c>
      <c r="AC147" s="52" t="str">
        <f aca="false">IF(AB147="","",MAX($AB$6:AB147))</f>
        <v/>
      </c>
      <c r="AD147" s="52" t="str">
        <f aca="false">IF(AB147="","",AB147-AC147)</f>
        <v/>
      </c>
    </row>
    <row r="148" customFormat="false" ht="15" hidden="false" customHeight="false" outlineLevel="0" collapsed="false">
      <c r="A148" s="44"/>
      <c r="B148" s="45"/>
      <c r="C148" s="44"/>
      <c r="D148" s="44"/>
      <c r="E148" s="44"/>
      <c r="F148" s="44"/>
      <c r="G148" s="44"/>
      <c r="H148" s="44"/>
      <c r="I148" s="47"/>
      <c r="J148" s="47"/>
      <c r="K148" s="47"/>
      <c r="L148" s="47"/>
      <c r="M148" s="48"/>
      <c r="N148" s="49" t="str">
        <f aca="false">IF(C148="","",IFERROR(VLOOKUP(C148,Lists!$A$5:$C$8,2,FALSE()),""))</f>
        <v/>
      </c>
      <c r="O148" s="49" t="str">
        <f aca="false">IF(C148="","",IFERROR(VLOOKUP(C148,Lists!$A$5:$C$8,3,FALSE()),""))</f>
        <v/>
      </c>
      <c r="P148" s="50"/>
      <c r="Q148" s="50"/>
      <c r="R148" s="51" t="str">
        <f aca="false">IF(OR(I148="",L148="",M148="",N148="",O148=""),"",IF(F148="Long",(L148-I148)/N148*O148*M148,IF(F148="Short",(I148-L148)/N148*O148*M148,"")))</f>
        <v/>
      </c>
      <c r="S148" s="51" t="str">
        <f aca="false">IF(R148="","",R148-P148-Q148)</f>
        <v/>
      </c>
      <c r="T148" s="51" t="str">
        <f aca="false">IF(OR(I148="",J148="",M148="",N148="",O148=""),"",ABS(I148-J148)/N148*O148*M148+P148+Q148)</f>
        <v/>
      </c>
      <c r="U148" s="52" t="str">
        <f aca="false">IF(OR(S148="",T148="",T148=0),"",S148/T148)</f>
        <v/>
      </c>
      <c r="V148" s="50"/>
      <c r="W148" s="50"/>
      <c r="X148" s="44"/>
      <c r="Y148" s="44"/>
      <c r="Z148" s="44"/>
      <c r="AA148" s="44"/>
      <c r="AB148" s="52" t="str">
        <f aca="false">IF(OR(B148="",X148&lt;&gt;"Yes"),"",SUMIFS($U$6:U148,$X$6:X148,"Yes"))</f>
        <v/>
      </c>
      <c r="AC148" s="52" t="str">
        <f aca="false">IF(AB148="","",MAX($AB$6:AB148))</f>
        <v/>
      </c>
      <c r="AD148" s="52" t="str">
        <f aca="false">IF(AB148="","",AB148-AC148)</f>
        <v/>
      </c>
    </row>
    <row r="149" customFormat="false" ht="15" hidden="false" customHeight="false" outlineLevel="0" collapsed="false">
      <c r="A149" s="44"/>
      <c r="B149" s="45"/>
      <c r="C149" s="44"/>
      <c r="D149" s="44"/>
      <c r="E149" s="44"/>
      <c r="F149" s="44"/>
      <c r="G149" s="44"/>
      <c r="H149" s="44"/>
      <c r="I149" s="47"/>
      <c r="J149" s="47"/>
      <c r="K149" s="47"/>
      <c r="L149" s="47"/>
      <c r="M149" s="48"/>
      <c r="N149" s="49" t="str">
        <f aca="false">IF(C149="","",IFERROR(VLOOKUP(C149,Lists!$A$5:$C$8,2,FALSE()),""))</f>
        <v/>
      </c>
      <c r="O149" s="49" t="str">
        <f aca="false">IF(C149="","",IFERROR(VLOOKUP(C149,Lists!$A$5:$C$8,3,FALSE()),""))</f>
        <v/>
      </c>
      <c r="P149" s="50"/>
      <c r="Q149" s="50"/>
      <c r="R149" s="51" t="str">
        <f aca="false">IF(OR(I149="",L149="",M149="",N149="",O149=""),"",IF(F149="Long",(L149-I149)/N149*O149*M149,IF(F149="Short",(I149-L149)/N149*O149*M149,"")))</f>
        <v/>
      </c>
      <c r="S149" s="51" t="str">
        <f aca="false">IF(R149="","",R149-P149-Q149)</f>
        <v/>
      </c>
      <c r="T149" s="51" t="str">
        <f aca="false">IF(OR(I149="",J149="",M149="",N149="",O149=""),"",ABS(I149-J149)/N149*O149*M149+P149+Q149)</f>
        <v/>
      </c>
      <c r="U149" s="52" t="str">
        <f aca="false">IF(OR(S149="",T149="",T149=0),"",S149/T149)</f>
        <v/>
      </c>
      <c r="V149" s="50"/>
      <c r="W149" s="50"/>
      <c r="X149" s="44"/>
      <c r="Y149" s="44"/>
      <c r="Z149" s="44"/>
      <c r="AA149" s="44"/>
      <c r="AB149" s="52" t="str">
        <f aca="false">IF(OR(B149="",X149&lt;&gt;"Yes"),"",SUMIFS($U$6:U149,$X$6:X149,"Yes"))</f>
        <v/>
      </c>
      <c r="AC149" s="52" t="str">
        <f aca="false">IF(AB149="","",MAX($AB$6:AB149))</f>
        <v/>
      </c>
      <c r="AD149" s="52" t="str">
        <f aca="false">IF(AB149="","",AB149-AC149)</f>
        <v/>
      </c>
    </row>
    <row r="150" customFormat="false" ht="15" hidden="false" customHeight="false" outlineLevel="0" collapsed="false">
      <c r="A150" s="44"/>
      <c r="B150" s="45"/>
      <c r="C150" s="44"/>
      <c r="D150" s="44"/>
      <c r="E150" s="44"/>
      <c r="F150" s="44"/>
      <c r="G150" s="44"/>
      <c r="H150" s="44"/>
      <c r="I150" s="47"/>
      <c r="J150" s="47"/>
      <c r="K150" s="47"/>
      <c r="L150" s="47"/>
      <c r="M150" s="48"/>
      <c r="N150" s="49" t="str">
        <f aca="false">IF(C150="","",IFERROR(VLOOKUP(C150,Lists!$A$5:$C$8,2,FALSE()),""))</f>
        <v/>
      </c>
      <c r="O150" s="49" t="str">
        <f aca="false">IF(C150="","",IFERROR(VLOOKUP(C150,Lists!$A$5:$C$8,3,FALSE()),""))</f>
        <v/>
      </c>
      <c r="P150" s="50"/>
      <c r="Q150" s="50"/>
      <c r="R150" s="51" t="str">
        <f aca="false">IF(OR(I150="",L150="",M150="",N150="",O150=""),"",IF(F150="Long",(L150-I150)/N150*O150*M150,IF(F150="Short",(I150-L150)/N150*O150*M150,"")))</f>
        <v/>
      </c>
      <c r="S150" s="51" t="str">
        <f aca="false">IF(R150="","",R150-P150-Q150)</f>
        <v/>
      </c>
      <c r="T150" s="51" t="str">
        <f aca="false">IF(OR(I150="",J150="",M150="",N150="",O150=""),"",ABS(I150-J150)/N150*O150*M150+P150+Q150)</f>
        <v/>
      </c>
      <c r="U150" s="52" t="str">
        <f aca="false">IF(OR(S150="",T150="",T150=0),"",S150/T150)</f>
        <v/>
      </c>
      <c r="V150" s="50"/>
      <c r="W150" s="50"/>
      <c r="X150" s="44"/>
      <c r="Y150" s="44"/>
      <c r="Z150" s="44"/>
      <c r="AA150" s="44"/>
      <c r="AB150" s="52" t="str">
        <f aca="false">IF(OR(B150="",X150&lt;&gt;"Yes"),"",SUMIFS($U$6:U150,$X$6:X150,"Yes"))</f>
        <v/>
      </c>
      <c r="AC150" s="52" t="str">
        <f aca="false">IF(AB150="","",MAX($AB$6:AB150))</f>
        <v/>
      </c>
      <c r="AD150" s="52" t="str">
        <f aca="false">IF(AB150="","",AB150-AC150)</f>
        <v/>
      </c>
    </row>
    <row r="151" customFormat="false" ht="15" hidden="false" customHeight="false" outlineLevel="0" collapsed="false">
      <c r="A151" s="44"/>
      <c r="B151" s="45"/>
      <c r="C151" s="44"/>
      <c r="D151" s="44"/>
      <c r="E151" s="44"/>
      <c r="F151" s="44"/>
      <c r="G151" s="44"/>
      <c r="H151" s="44"/>
      <c r="I151" s="47"/>
      <c r="J151" s="47"/>
      <c r="K151" s="47"/>
      <c r="L151" s="47"/>
      <c r="M151" s="48"/>
      <c r="N151" s="49" t="str">
        <f aca="false">IF(C151="","",IFERROR(VLOOKUP(C151,Lists!$A$5:$C$8,2,FALSE()),""))</f>
        <v/>
      </c>
      <c r="O151" s="49" t="str">
        <f aca="false">IF(C151="","",IFERROR(VLOOKUP(C151,Lists!$A$5:$C$8,3,FALSE()),""))</f>
        <v/>
      </c>
      <c r="P151" s="50"/>
      <c r="Q151" s="50"/>
      <c r="R151" s="51" t="str">
        <f aca="false">IF(OR(I151="",L151="",M151="",N151="",O151=""),"",IF(F151="Long",(L151-I151)/N151*O151*M151,IF(F151="Short",(I151-L151)/N151*O151*M151,"")))</f>
        <v/>
      </c>
      <c r="S151" s="51" t="str">
        <f aca="false">IF(R151="","",R151-P151-Q151)</f>
        <v/>
      </c>
      <c r="T151" s="51" t="str">
        <f aca="false">IF(OR(I151="",J151="",M151="",N151="",O151=""),"",ABS(I151-J151)/N151*O151*M151+P151+Q151)</f>
        <v/>
      </c>
      <c r="U151" s="52" t="str">
        <f aca="false">IF(OR(S151="",T151="",T151=0),"",S151/T151)</f>
        <v/>
      </c>
      <c r="V151" s="50"/>
      <c r="W151" s="50"/>
      <c r="X151" s="44"/>
      <c r="Y151" s="44"/>
      <c r="Z151" s="44"/>
      <c r="AA151" s="44"/>
      <c r="AB151" s="52" t="str">
        <f aca="false">IF(OR(B151="",X151&lt;&gt;"Yes"),"",SUMIFS($U$6:U151,$X$6:X151,"Yes"))</f>
        <v/>
      </c>
      <c r="AC151" s="52" t="str">
        <f aca="false">IF(AB151="","",MAX($AB$6:AB151))</f>
        <v/>
      </c>
      <c r="AD151" s="52" t="str">
        <f aca="false">IF(AB151="","",AB151-AC151)</f>
        <v/>
      </c>
    </row>
    <row r="152" customFormat="false" ht="15" hidden="false" customHeight="false" outlineLevel="0" collapsed="false">
      <c r="A152" s="44"/>
      <c r="B152" s="45"/>
      <c r="C152" s="44"/>
      <c r="D152" s="44"/>
      <c r="E152" s="44"/>
      <c r="F152" s="44"/>
      <c r="G152" s="44"/>
      <c r="H152" s="44"/>
      <c r="I152" s="47"/>
      <c r="J152" s="47"/>
      <c r="K152" s="47"/>
      <c r="L152" s="47"/>
      <c r="M152" s="48"/>
      <c r="N152" s="49" t="str">
        <f aca="false">IF(C152="","",IFERROR(VLOOKUP(C152,Lists!$A$5:$C$8,2,FALSE()),""))</f>
        <v/>
      </c>
      <c r="O152" s="49" t="str">
        <f aca="false">IF(C152="","",IFERROR(VLOOKUP(C152,Lists!$A$5:$C$8,3,FALSE()),""))</f>
        <v/>
      </c>
      <c r="P152" s="50"/>
      <c r="Q152" s="50"/>
      <c r="R152" s="51" t="str">
        <f aca="false">IF(OR(I152="",L152="",M152="",N152="",O152=""),"",IF(F152="Long",(L152-I152)/N152*O152*M152,IF(F152="Short",(I152-L152)/N152*O152*M152,"")))</f>
        <v/>
      </c>
      <c r="S152" s="51" t="str">
        <f aca="false">IF(R152="","",R152-P152-Q152)</f>
        <v/>
      </c>
      <c r="T152" s="51" t="str">
        <f aca="false">IF(OR(I152="",J152="",M152="",N152="",O152=""),"",ABS(I152-J152)/N152*O152*M152+P152+Q152)</f>
        <v/>
      </c>
      <c r="U152" s="52" t="str">
        <f aca="false">IF(OR(S152="",T152="",T152=0),"",S152/T152)</f>
        <v/>
      </c>
      <c r="V152" s="50"/>
      <c r="W152" s="50"/>
      <c r="X152" s="44"/>
      <c r="Y152" s="44"/>
      <c r="Z152" s="44"/>
      <c r="AA152" s="44"/>
      <c r="AB152" s="52" t="str">
        <f aca="false">IF(OR(B152="",X152&lt;&gt;"Yes"),"",SUMIFS($U$6:U152,$X$6:X152,"Yes"))</f>
        <v/>
      </c>
      <c r="AC152" s="52" t="str">
        <f aca="false">IF(AB152="","",MAX($AB$6:AB152))</f>
        <v/>
      </c>
      <c r="AD152" s="52" t="str">
        <f aca="false">IF(AB152="","",AB152-AC152)</f>
        <v/>
      </c>
    </row>
    <row r="153" customFormat="false" ht="15" hidden="false" customHeight="false" outlineLevel="0" collapsed="false">
      <c r="A153" s="44"/>
      <c r="B153" s="45"/>
      <c r="C153" s="44"/>
      <c r="D153" s="44"/>
      <c r="E153" s="44"/>
      <c r="F153" s="44"/>
      <c r="G153" s="44"/>
      <c r="H153" s="44"/>
      <c r="I153" s="47"/>
      <c r="J153" s="47"/>
      <c r="K153" s="47"/>
      <c r="L153" s="47"/>
      <c r="M153" s="48"/>
      <c r="N153" s="49" t="str">
        <f aca="false">IF(C153="","",IFERROR(VLOOKUP(C153,Lists!$A$5:$C$8,2,FALSE()),""))</f>
        <v/>
      </c>
      <c r="O153" s="49" t="str">
        <f aca="false">IF(C153="","",IFERROR(VLOOKUP(C153,Lists!$A$5:$C$8,3,FALSE()),""))</f>
        <v/>
      </c>
      <c r="P153" s="50"/>
      <c r="Q153" s="50"/>
      <c r="R153" s="51" t="str">
        <f aca="false">IF(OR(I153="",L153="",M153="",N153="",O153=""),"",IF(F153="Long",(L153-I153)/N153*O153*M153,IF(F153="Short",(I153-L153)/N153*O153*M153,"")))</f>
        <v/>
      </c>
      <c r="S153" s="51" t="str">
        <f aca="false">IF(R153="","",R153-P153-Q153)</f>
        <v/>
      </c>
      <c r="T153" s="51" t="str">
        <f aca="false">IF(OR(I153="",J153="",M153="",N153="",O153=""),"",ABS(I153-J153)/N153*O153*M153+P153+Q153)</f>
        <v/>
      </c>
      <c r="U153" s="52" t="str">
        <f aca="false">IF(OR(S153="",T153="",T153=0),"",S153/T153)</f>
        <v/>
      </c>
      <c r="V153" s="50"/>
      <c r="W153" s="50"/>
      <c r="X153" s="44"/>
      <c r="Y153" s="44"/>
      <c r="Z153" s="44"/>
      <c r="AA153" s="44"/>
      <c r="AB153" s="52" t="str">
        <f aca="false">IF(OR(B153="",X153&lt;&gt;"Yes"),"",SUMIFS($U$6:U153,$X$6:X153,"Yes"))</f>
        <v/>
      </c>
      <c r="AC153" s="52" t="str">
        <f aca="false">IF(AB153="","",MAX($AB$6:AB153))</f>
        <v/>
      </c>
      <c r="AD153" s="52" t="str">
        <f aca="false">IF(AB153="","",AB153-AC153)</f>
        <v/>
      </c>
    </row>
    <row r="154" customFormat="false" ht="15" hidden="false" customHeight="false" outlineLevel="0" collapsed="false">
      <c r="A154" s="44"/>
      <c r="B154" s="45"/>
      <c r="C154" s="44"/>
      <c r="D154" s="44"/>
      <c r="E154" s="44"/>
      <c r="F154" s="44"/>
      <c r="G154" s="44"/>
      <c r="H154" s="44"/>
      <c r="I154" s="47"/>
      <c r="J154" s="47"/>
      <c r="K154" s="47"/>
      <c r="L154" s="47"/>
      <c r="M154" s="48"/>
      <c r="N154" s="49" t="str">
        <f aca="false">IF(C154="","",IFERROR(VLOOKUP(C154,Lists!$A$5:$C$8,2,FALSE()),""))</f>
        <v/>
      </c>
      <c r="O154" s="49" t="str">
        <f aca="false">IF(C154="","",IFERROR(VLOOKUP(C154,Lists!$A$5:$C$8,3,FALSE()),""))</f>
        <v/>
      </c>
      <c r="P154" s="50"/>
      <c r="Q154" s="50"/>
      <c r="R154" s="51" t="str">
        <f aca="false">IF(OR(I154="",L154="",M154="",N154="",O154=""),"",IF(F154="Long",(L154-I154)/N154*O154*M154,IF(F154="Short",(I154-L154)/N154*O154*M154,"")))</f>
        <v/>
      </c>
      <c r="S154" s="51" t="str">
        <f aca="false">IF(R154="","",R154-P154-Q154)</f>
        <v/>
      </c>
      <c r="T154" s="51" t="str">
        <f aca="false">IF(OR(I154="",J154="",M154="",N154="",O154=""),"",ABS(I154-J154)/N154*O154*M154+P154+Q154)</f>
        <v/>
      </c>
      <c r="U154" s="52" t="str">
        <f aca="false">IF(OR(S154="",T154="",T154=0),"",S154/T154)</f>
        <v/>
      </c>
      <c r="V154" s="50"/>
      <c r="W154" s="50"/>
      <c r="X154" s="44"/>
      <c r="Y154" s="44"/>
      <c r="Z154" s="44"/>
      <c r="AA154" s="44"/>
      <c r="AB154" s="52" t="str">
        <f aca="false">IF(OR(B154="",X154&lt;&gt;"Yes"),"",SUMIFS($U$6:U154,$X$6:X154,"Yes"))</f>
        <v/>
      </c>
      <c r="AC154" s="52" t="str">
        <f aca="false">IF(AB154="","",MAX($AB$6:AB154))</f>
        <v/>
      </c>
      <c r="AD154" s="52" t="str">
        <f aca="false">IF(AB154="","",AB154-AC154)</f>
        <v/>
      </c>
    </row>
    <row r="155" customFormat="false" ht="15" hidden="false" customHeight="false" outlineLevel="0" collapsed="false">
      <c r="A155" s="44"/>
      <c r="B155" s="45"/>
      <c r="C155" s="44"/>
      <c r="D155" s="44"/>
      <c r="E155" s="44"/>
      <c r="F155" s="44"/>
      <c r="G155" s="44"/>
      <c r="H155" s="44"/>
      <c r="I155" s="47"/>
      <c r="J155" s="47"/>
      <c r="K155" s="47"/>
      <c r="L155" s="47"/>
      <c r="M155" s="48"/>
      <c r="N155" s="49" t="str">
        <f aca="false">IF(C155="","",IFERROR(VLOOKUP(C155,Lists!$A$5:$C$8,2,FALSE()),""))</f>
        <v/>
      </c>
      <c r="O155" s="49" t="str">
        <f aca="false">IF(C155="","",IFERROR(VLOOKUP(C155,Lists!$A$5:$C$8,3,FALSE()),""))</f>
        <v/>
      </c>
      <c r="P155" s="50"/>
      <c r="Q155" s="50"/>
      <c r="R155" s="51" t="str">
        <f aca="false">IF(OR(I155="",L155="",M155="",N155="",O155=""),"",IF(F155="Long",(L155-I155)/N155*O155*M155,IF(F155="Short",(I155-L155)/N155*O155*M155,"")))</f>
        <v/>
      </c>
      <c r="S155" s="51" t="str">
        <f aca="false">IF(R155="","",R155-P155-Q155)</f>
        <v/>
      </c>
      <c r="T155" s="51" t="str">
        <f aca="false">IF(OR(I155="",J155="",M155="",N155="",O155=""),"",ABS(I155-J155)/N155*O155*M155+P155+Q155)</f>
        <v/>
      </c>
      <c r="U155" s="52" t="str">
        <f aca="false">IF(OR(S155="",T155="",T155=0),"",S155/T155)</f>
        <v/>
      </c>
      <c r="V155" s="50"/>
      <c r="W155" s="50"/>
      <c r="X155" s="44"/>
      <c r="Y155" s="44"/>
      <c r="Z155" s="44"/>
      <c r="AA155" s="44"/>
      <c r="AB155" s="52" t="str">
        <f aca="false">IF(OR(B155="",X155&lt;&gt;"Yes"),"",SUMIFS($U$6:U155,$X$6:X155,"Yes"))</f>
        <v/>
      </c>
      <c r="AC155" s="52" t="str">
        <f aca="false">IF(AB155="","",MAX($AB$6:AB155))</f>
        <v/>
      </c>
      <c r="AD155" s="52" t="str">
        <f aca="false">IF(AB155="","",AB155-AC155)</f>
        <v/>
      </c>
    </row>
    <row r="156" customFormat="false" ht="15" hidden="false" customHeight="false" outlineLevel="0" collapsed="false">
      <c r="A156" s="44"/>
      <c r="B156" s="45"/>
      <c r="C156" s="44"/>
      <c r="D156" s="44"/>
      <c r="E156" s="44"/>
      <c r="F156" s="44"/>
      <c r="G156" s="44"/>
      <c r="H156" s="44"/>
      <c r="I156" s="47"/>
      <c r="J156" s="47"/>
      <c r="K156" s="47"/>
      <c r="L156" s="47"/>
      <c r="M156" s="48"/>
      <c r="N156" s="49" t="str">
        <f aca="false">IF(C156="","",IFERROR(VLOOKUP(C156,Lists!$A$5:$C$8,2,FALSE()),""))</f>
        <v/>
      </c>
      <c r="O156" s="49" t="str">
        <f aca="false">IF(C156="","",IFERROR(VLOOKUP(C156,Lists!$A$5:$C$8,3,FALSE()),""))</f>
        <v/>
      </c>
      <c r="P156" s="50"/>
      <c r="Q156" s="50"/>
      <c r="R156" s="51" t="str">
        <f aca="false">IF(OR(I156="",L156="",M156="",N156="",O156=""),"",IF(F156="Long",(L156-I156)/N156*O156*M156,IF(F156="Short",(I156-L156)/N156*O156*M156,"")))</f>
        <v/>
      </c>
      <c r="S156" s="51" t="str">
        <f aca="false">IF(R156="","",R156-P156-Q156)</f>
        <v/>
      </c>
      <c r="T156" s="51" t="str">
        <f aca="false">IF(OR(I156="",J156="",M156="",N156="",O156=""),"",ABS(I156-J156)/N156*O156*M156+P156+Q156)</f>
        <v/>
      </c>
      <c r="U156" s="52" t="str">
        <f aca="false">IF(OR(S156="",T156="",T156=0),"",S156/T156)</f>
        <v/>
      </c>
      <c r="V156" s="50"/>
      <c r="W156" s="50"/>
      <c r="X156" s="44"/>
      <c r="Y156" s="44"/>
      <c r="Z156" s="44"/>
      <c r="AA156" s="44"/>
      <c r="AB156" s="52" t="str">
        <f aca="false">IF(OR(B156="",X156&lt;&gt;"Yes"),"",SUMIFS($U$6:U156,$X$6:X156,"Yes"))</f>
        <v/>
      </c>
      <c r="AC156" s="52" t="str">
        <f aca="false">IF(AB156="","",MAX($AB$6:AB156))</f>
        <v/>
      </c>
      <c r="AD156" s="52" t="str">
        <f aca="false">IF(AB156="","",AB156-AC156)</f>
        <v/>
      </c>
    </row>
    <row r="157" customFormat="false" ht="15" hidden="false" customHeight="false" outlineLevel="0" collapsed="false">
      <c r="A157" s="44"/>
      <c r="B157" s="45"/>
      <c r="C157" s="44"/>
      <c r="D157" s="44"/>
      <c r="E157" s="44"/>
      <c r="F157" s="44"/>
      <c r="G157" s="44"/>
      <c r="H157" s="44"/>
      <c r="I157" s="47"/>
      <c r="J157" s="47"/>
      <c r="K157" s="47"/>
      <c r="L157" s="47"/>
      <c r="M157" s="48"/>
      <c r="N157" s="49" t="str">
        <f aca="false">IF(C157="","",IFERROR(VLOOKUP(C157,Lists!$A$5:$C$8,2,FALSE()),""))</f>
        <v/>
      </c>
      <c r="O157" s="49" t="str">
        <f aca="false">IF(C157="","",IFERROR(VLOOKUP(C157,Lists!$A$5:$C$8,3,FALSE()),""))</f>
        <v/>
      </c>
      <c r="P157" s="50"/>
      <c r="Q157" s="50"/>
      <c r="R157" s="51" t="str">
        <f aca="false">IF(OR(I157="",L157="",M157="",N157="",O157=""),"",IF(F157="Long",(L157-I157)/N157*O157*M157,IF(F157="Short",(I157-L157)/N157*O157*M157,"")))</f>
        <v/>
      </c>
      <c r="S157" s="51" t="str">
        <f aca="false">IF(R157="","",R157-P157-Q157)</f>
        <v/>
      </c>
      <c r="T157" s="51" t="str">
        <f aca="false">IF(OR(I157="",J157="",M157="",N157="",O157=""),"",ABS(I157-J157)/N157*O157*M157+P157+Q157)</f>
        <v/>
      </c>
      <c r="U157" s="52" t="str">
        <f aca="false">IF(OR(S157="",T157="",T157=0),"",S157/T157)</f>
        <v/>
      </c>
      <c r="V157" s="50"/>
      <c r="W157" s="50"/>
      <c r="X157" s="44"/>
      <c r="Y157" s="44"/>
      <c r="Z157" s="44"/>
      <c r="AA157" s="44"/>
      <c r="AB157" s="52" t="str">
        <f aca="false">IF(OR(B157="",X157&lt;&gt;"Yes"),"",SUMIFS($U$6:U157,$X$6:X157,"Yes"))</f>
        <v/>
      </c>
      <c r="AC157" s="52" t="str">
        <f aca="false">IF(AB157="","",MAX($AB$6:AB157))</f>
        <v/>
      </c>
      <c r="AD157" s="52" t="str">
        <f aca="false">IF(AB157="","",AB157-AC157)</f>
        <v/>
      </c>
    </row>
    <row r="158" customFormat="false" ht="15" hidden="false" customHeight="false" outlineLevel="0" collapsed="false">
      <c r="A158" s="44"/>
      <c r="B158" s="45"/>
      <c r="C158" s="44"/>
      <c r="D158" s="44"/>
      <c r="E158" s="44"/>
      <c r="F158" s="44"/>
      <c r="G158" s="44"/>
      <c r="H158" s="44"/>
      <c r="I158" s="47"/>
      <c r="J158" s="47"/>
      <c r="K158" s="47"/>
      <c r="L158" s="47"/>
      <c r="M158" s="48"/>
      <c r="N158" s="49" t="str">
        <f aca="false">IF(C158="","",IFERROR(VLOOKUP(C158,Lists!$A$5:$C$8,2,FALSE()),""))</f>
        <v/>
      </c>
      <c r="O158" s="49" t="str">
        <f aca="false">IF(C158="","",IFERROR(VLOOKUP(C158,Lists!$A$5:$C$8,3,FALSE()),""))</f>
        <v/>
      </c>
      <c r="P158" s="50"/>
      <c r="Q158" s="50"/>
      <c r="R158" s="51" t="str">
        <f aca="false">IF(OR(I158="",L158="",M158="",N158="",O158=""),"",IF(F158="Long",(L158-I158)/N158*O158*M158,IF(F158="Short",(I158-L158)/N158*O158*M158,"")))</f>
        <v/>
      </c>
      <c r="S158" s="51" t="str">
        <f aca="false">IF(R158="","",R158-P158-Q158)</f>
        <v/>
      </c>
      <c r="T158" s="51" t="str">
        <f aca="false">IF(OR(I158="",J158="",M158="",N158="",O158=""),"",ABS(I158-J158)/N158*O158*M158+P158+Q158)</f>
        <v/>
      </c>
      <c r="U158" s="52" t="str">
        <f aca="false">IF(OR(S158="",T158="",T158=0),"",S158/T158)</f>
        <v/>
      </c>
      <c r="V158" s="50"/>
      <c r="W158" s="50"/>
      <c r="X158" s="44"/>
      <c r="Y158" s="44"/>
      <c r="Z158" s="44"/>
      <c r="AA158" s="44"/>
      <c r="AB158" s="52" t="str">
        <f aca="false">IF(OR(B158="",X158&lt;&gt;"Yes"),"",SUMIFS($U$6:U158,$X$6:X158,"Yes"))</f>
        <v/>
      </c>
      <c r="AC158" s="52" t="str">
        <f aca="false">IF(AB158="","",MAX($AB$6:AB158))</f>
        <v/>
      </c>
      <c r="AD158" s="52" t="str">
        <f aca="false">IF(AB158="","",AB158-AC158)</f>
        <v/>
      </c>
    </row>
    <row r="159" customFormat="false" ht="15" hidden="false" customHeight="false" outlineLevel="0" collapsed="false">
      <c r="A159" s="44"/>
      <c r="B159" s="45"/>
      <c r="C159" s="44"/>
      <c r="D159" s="44"/>
      <c r="E159" s="44"/>
      <c r="F159" s="44"/>
      <c r="G159" s="44"/>
      <c r="H159" s="44"/>
      <c r="I159" s="47"/>
      <c r="J159" s="47"/>
      <c r="K159" s="47"/>
      <c r="L159" s="47"/>
      <c r="M159" s="48"/>
      <c r="N159" s="49" t="str">
        <f aca="false">IF(C159="","",IFERROR(VLOOKUP(C159,Lists!$A$5:$C$8,2,FALSE()),""))</f>
        <v/>
      </c>
      <c r="O159" s="49" t="str">
        <f aca="false">IF(C159="","",IFERROR(VLOOKUP(C159,Lists!$A$5:$C$8,3,FALSE()),""))</f>
        <v/>
      </c>
      <c r="P159" s="50"/>
      <c r="Q159" s="50"/>
      <c r="R159" s="51" t="str">
        <f aca="false">IF(OR(I159="",L159="",M159="",N159="",O159=""),"",IF(F159="Long",(L159-I159)/N159*O159*M159,IF(F159="Short",(I159-L159)/N159*O159*M159,"")))</f>
        <v/>
      </c>
      <c r="S159" s="51" t="str">
        <f aca="false">IF(R159="","",R159-P159-Q159)</f>
        <v/>
      </c>
      <c r="T159" s="51" t="str">
        <f aca="false">IF(OR(I159="",J159="",M159="",N159="",O159=""),"",ABS(I159-J159)/N159*O159*M159+P159+Q159)</f>
        <v/>
      </c>
      <c r="U159" s="52" t="str">
        <f aca="false">IF(OR(S159="",T159="",T159=0),"",S159/T159)</f>
        <v/>
      </c>
      <c r="V159" s="50"/>
      <c r="W159" s="50"/>
      <c r="X159" s="44"/>
      <c r="Y159" s="44"/>
      <c r="Z159" s="44"/>
      <c r="AA159" s="44"/>
      <c r="AB159" s="52" t="str">
        <f aca="false">IF(OR(B159="",X159&lt;&gt;"Yes"),"",SUMIFS($U$6:U159,$X$6:X159,"Yes"))</f>
        <v/>
      </c>
      <c r="AC159" s="52" t="str">
        <f aca="false">IF(AB159="","",MAX($AB$6:AB159))</f>
        <v/>
      </c>
      <c r="AD159" s="52" t="str">
        <f aca="false">IF(AB159="","",AB159-AC159)</f>
        <v/>
      </c>
    </row>
    <row r="160" customFormat="false" ht="15" hidden="false" customHeight="false" outlineLevel="0" collapsed="false">
      <c r="A160" s="44"/>
      <c r="B160" s="45"/>
      <c r="C160" s="44"/>
      <c r="D160" s="44"/>
      <c r="E160" s="44"/>
      <c r="F160" s="44"/>
      <c r="G160" s="44"/>
      <c r="H160" s="44"/>
      <c r="I160" s="47"/>
      <c r="J160" s="47"/>
      <c r="K160" s="47"/>
      <c r="L160" s="47"/>
      <c r="M160" s="48"/>
      <c r="N160" s="49" t="str">
        <f aca="false">IF(C160="","",IFERROR(VLOOKUP(C160,Lists!$A$5:$C$8,2,FALSE()),""))</f>
        <v/>
      </c>
      <c r="O160" s="49" t="str">
        <f aca="false">IF(C160="","",IFERROR(VLOOKUP(C160,Lists!$A$5:$C$8,3,FALSE()),""))</f>
        <v/>
      </c>
      <c r="P160" s="50"/>
      <c r="Q160" s="50"/>
      <c r="R160" s="51" t="str">
        <f aca="false">IF(OR(I160="",L160="",M160="",N160="",O160=""),"",IF(F160="Long",(L160-I160)/N160*O160*M160,IF(F160="Short",(I160-L160)/N160*O160*M160,"")))</f>
        <v/>
      </c>
      <c r="S160" s="51" t="str">
        <f aca="false">IF(R160="","",R160-P160-Q160)</f>
        <v/>
      </c>
      <c r="T160" s="51" t="str">
        <f aca="false">IF(OR(I160="",J160="",M160="",N160="",O160=""),"",ABS(I160-J160)/N160*O160*M160+P160+Q160)</f>
        <v/>
      </c>
      <c r="U160" s="52" t="str">
        <f aca="false">IF(OR(S160="",T160="",T160=0),"",S160/T160)</f>
        <v/>
      </c>
      <c r="V160" s="50"/>
      <c r="W160" s="50"/>
      <c r="X160" s="44"/>
      <c r="Y160" s="44"/>
      <c r="Z160" s="44"/>
      <c r="AA160" s="44"/>
      <c r="AB160" s="52" t="str">
        <f aca="false">IF(OR(B160="",X160&lt;&gt;"Yes"),"",SUMIFS($U$6:U160,$X$6:X160,"Yes"))</f>
        <v/>
      </c>
      <c r="AC160" s="52" t="str">
        <f aca="false">IF(AB160="","",MAX($AB$6:AB160))</f>
        <v/>
      </c>
      <c r="AD160" s="52" t="str">
        <f aca="false">IF(AB160="","",AB160-AC160)</f>
        <v/>
      </c>
    </row>
    <row r="161" customFormat="false" ht="15" hidden="false" customHeight="false" outlineLevel="0" collapsed="false">
      <c r="A161" s="44"/>
      <c r="B161" s="45"/>
      <c r="C161" s="44"/>
      <c r="D161" s="44"/>
      <c r="E161" s="44"/>
      <c r="F161" s="44"/>
      <c r="G161" s="44"/>
      <c r="H161" s="44"/>
      <c r="I161" s="47"/>
      <c r="J161" s="47"/>
      <c r="K161" s="47"/>
      <c r="L161" s="47"/>
      <c r="M161" s="48"/>
      <c r="N161" s="49" t="str">
        <f aca="false">IF(C161="","",IFERROR(VLOOKUP(C161,Lists!$A$5:$C$8,2,FALSE()),""))</f>
        <v/>
      </c>
      <c r="O161" s="49" t="str">
        <f aca="false">IF(C161="","",IFERROR(VLOOKUP(C161,Lists!$A$5:$C$8,3,FALSE()),""))</f>
        <v/>
      </c>
      <c r="P161" s="50"/>
      <c r="Q161" s="50"/>
      <c r="R161" s="51" t="str">
        <f aca="false">IF(OR(I161="",L161="",M161="",N161="",O161=""),"",IF(F161="Long",(L161-I161)/N161*O161*M161,IF(F161="Short",(I161-L161)/N161*O161*M161,"")))</f>
        <v/>
      </c>
      <c r="S161" s="51" t="str">
        <f aca="false">IF(R161="","",R161-P161-Q161)</f>
        <v/>
      </c>
      <c r="T161" s="51" t="str">
        <f aca="false">IF(OR(I161="",J161="",M161="",N161="",O161=""),"",ABS(I161-J161)/N161*O161*M161+P161+Q161)</f>
        <v/>
      </c>
      <c r="U161" s="52" t="str">
        <f aca="false">IF(OR(S161="",T161="",T161=0),"",S161/T161)</f>
        <v/>
      </c>
      <c r="V161" s="50"/>
      <c r="W161" s="50"/>
      <c r="X161" s="44"/>
      <c r="Y161" s="44"/>
      <c r="Z161" s="44"/>
      <c r="AA161" s="44"/>
      <c r="AB161" s="52" t="str">
        <f aca="false">IF(OR(B161="",X161&lt;&gt;"Yes"),"",SUMIFS($U$6:U161,$X$6:X161,"Yes"))</f>
        <v/>
      </c>
      <c r="AC161" s="52" t="str">
        <f aca="false">IF(AB161="","",MAX($AB$6:AB161))</f>
        <v/>
      </c>
      <c r="AD161" s="52" t="str">
        <f aca="false">IF(AB161="","",AB161-AC161)</f>
        <v/>
      </c>
    </row>
    <row r="162" customFormat="false" ht="15" hidden="false" customHeight="false" outlineLevel="0" collapsed="false">
      <c r="A162" s="44"/>
      <c r="B162" s="45"/>
      <c r="C162" s="44"/>
      <c r="D162" s="44"/>
      <c r="E162" s="44"/>
      <c r="F162" s="44"/>
      <c r="G162" s="44"/>
      <c r="H162" s="44"/>
      <c r="I162" s="47"/>
      <c r="J162" s="47"/>
      <c r="K162" s="47"/>
      <c r="L162" s="47"/>
      <c r="M162" s="48"/>
      <c r="N162" s="49" t="str">
        <f aca="false">IF(C162="","",IFERROR(VLOOKUP(C162,Lists!$A$5:$C$8,2,FALSE()),""))</f>
        <v/>
      </c>
      <c r="O162" s="49" t="str">
        <f aca="false">IF(C162="","",IFERROR(VLOOKUP(C162,Lists!$A$5:$C$8,3,FALSE()),""))</f>
        <v/>
      </c>
      <c r="P162" s="50"/>
      <c r="Q162" s="50"/>
      <c r="R162" s="51" t="str">
        <f aca="false">IF(OR(I162="",L162="",M162="",N162="",O162=""),"",IF(F162="Long",(L162-I162)/N162*O162*M162,IF(F162="Short",(I162-L162)/N162*O162*M162,"")))</f>
        <v/>
      </c>
      <c r="S162" s="51" t="str">
        <f aca="false">IF(R162="","",R162-P162-Q162)</f>
        <v/>
      </c>
      <c r="T162" s="51" t="str">
        <f aca="false">IF(OR(I162="",J162="",M162="",N162="",O162=""),"",ABS(I162-J162)/N162*O162*M162+P162+Q162)</f>
        <v/>
      </c>
      <c r="U162" s="52" t="str">
        <f aca="false">IF(OR(S162="",T162="",T162=0),"",S162/T162)</f>
        <v/>
      </c>
      <c r="V162" s="50"/>
      <c r="W162" s="50"/>
      <c r="X162" s="44"/>
      <c r="Y162" s="44"/>
      <c r="Z162" s="44"/>
      <c r="AA162" s="44"/>
      <c r="AB162" s="52" t="str">
        <f aca="false">IF(OR(B162="",X162&lt;&gt;"Yes"),"",SUMIFS($U$6:U162,$X$6:X162,"Yes"))</f>
        <v/>
      </c>
      <c r="AC162" s="52" t="str">
        <f aca="false">IF(AB162="","",MAX($AB$6:AB162))</f>
        <v/>
      </c>
      <c r="AD162" s="52" t="str">
        <f aca="false">IF(AB162="","",AB162-AC162)</f>
        <v/>
      </c>
    </row>
    <row r="163" customFormat="false" ht="15" hidden="false" customHeight="false" outlineLevel="0" collapsed="false">
      <c r="A163" s="44"/>
      <c r="B163" s="45"/>
      <c r="C163" s="44"/>
      <c r="D163" s="44"/>
      <c r="E163" s="44"/>
      <c r="F163" s="44"/>
      <c r="G163" s="44"/>
      <c r="H163" s="44"/>
      <c r="I163" s="47"/>
      <c r="J163" s="47"/>
      <c r="K163" s="47"/>
      <c r="L163" s="47"/>
      <c r="M163" s="48"/>
      <c r="N163" s="49" t="str">
        <f aca="false">IF(C163="","",IFERROR(VLOOKUP(C163,Lists!$A$5:$C$8,2,FALSE()),""))</f>
        <v/>
      </c>
      <c r="O163" s="49" t="str">
        <f aca="false">IF(C163="","",IFERROR(VLOOKUP(C163,Lists!$A$5:$C$8,3,FALSE()),""))</f>
        <v/>
      </c>
      <c r="P163" s="50"/>
      <c r="Q163" s="50"/>
      <c r="R163" s="51" t="str">
        <f aca="false">IF(OR(I163="",L163="",M163="",N163="",O163=""),"",IF(F163="Long",(L163-I163)/N163*O163*M163,IF(F163="Short",(I163-L163)/N163*O163*M163,"")))</f>
        <v/>
      </c>
      <c r="S163" s="51" t="str">
        <f aca="false">IF(R163="","",R163-P163-Q163)</f>
        <v/>
      </c>
      <c r="T163" s="51" t="str">
        <f aca="false">IF(OR(I163="",J163="",M163="",N163="",O163=""),"",ABS(I163-J163)/N163*O163*M163+P163+Q163)</f>
        <v/>
      </c>
      <c r="U163" s="52" t="str">
        <f aca="false">IF(OR(S163="",T163="",T163=0),"",S163/T163)</f>
        <v/>
      </c>
      <c r="V163" s="50"/>
      <c r="W163" s="50"/>
      <c r="X163" s="44"/>
      <c r="Y163" s="44"/>
      <c r="Z163" s="44"/>
      <c r="AA163" s="44"/>
      <c r="AB163" s="52" t="str">
        <f aca="false">IF(OR(B163="",X163&lt;&gt;"Yes"),"",SUMIFS($U$6:U163,$X$6:X163,"Yes"))</f>
        <v/>
      </c>
      <c r="AC163" s="52" t="str">
        <f aca="false">IF(AB163="","",MAX($AB$6:AB163))</f>
        <v/>
      </c>
      <c r="AD163" s="52" t="str">
        <f aca="false">IF(AB163="","",AB163-AC163)</f>
        <v/>
      </c>
    </row>
    <row r="164" customFormat="false" ht="15" hidden="false" customHeight="false" outlineLevel="0" collapsed="false">
      <c r="A164" s="44"/>
      <c r="B164" s="45"/>
      <c r="C164" s="44"/>
      <c r="D164" s="44"/>
      <c r="E164" s="44"/>
      <c r="F164" s="44"/>
      <c r="G164" s="44"/>
      <c r="H164" s="44"/>
      <c r="I164" s="47"/>
      <c r="J164" s="47"/>
      <c r="K164" s="47"/>
      <c r="L164" s="47"/>
      <c r="M164" s="48"/>
      <c r="N164" s="49" t="str">
        <f aca="false">IF(C164="","",IFERROR(VLOOKUP(C164,Lists!$A$5:$C$8,2,FALSE()),""))</f>
        <v/>
      </c>
      <c r="O164" s="49" t="str">
        <f aca="false">IF(C164="","",IFERROR(VLOOKUP(C164,Lists!$A$5:$C$8,3,FALSE()),""))</f>
        <v/>
      </c>
      <c r="P164" s="50"/>
      <c r="Q164" s="50"/>
      <c r="R164" s="51" t="str">
        <f aca="false">IF(OR(I164="",L164="",M164="",N164="",O164=""),"",IF(F164="Long",(L164-I164)/N164*O164*M164,IF(F164="Short",(I164-L164)/N164*O164*M164,"")))</f>
        <v/>
      </c>
      <c r="S164" s="51" t="str">
        <f aca="false">IF(R164="","",R164-P164-Q164)</f>
        <v/>
      </c>
      <c r="T164" s="51" t="str">
        <f aca="false">IF(OR(I164="",J164="",M164="",N164="",O164=""),"",ABS(I164-J164)/N164*O164*M164+P164+Q164)</f>
        <v/>
      </c>
      <c r="U164" s="52" t="str">
        <f aca="false">IF(OR(S164="",T164="",T164=0),"",S164/T164)</f>
        <v/>
      </c>
      <c r="V164" s="50"/>
      <c r="W164" s="50"/>
      <c r="X164" s="44"/>
      <c r="Y164" s="44"/>
      <c r="Z164" s="44"/>
      <c r="AA164" s="44"/>
      <c r="AB164" s="52" t="str">
        <f aca="false">IF(OR(B164="",X164&lt;&gt;"Yes"),"",SUMIFS($U$6:U164,$X$6:X164,"Yes"))</f>
        <v/>
      </c>
      <c r="AC164" s="52" t="str">
        <f aca="false">IF(AB164="","",MAX($AB$6:AB164))</f>
        <v/>
      </c>
      <c r="AD164" s="52" t="str">
        <f aca="false">IF(AB164="","",AB164-AC164)</f>
        <v/>
      </c>
    </row>
    <row r="165" customFormat="false" ht="15" hidden="false" customHeight="false" outlineLevel="0" collapsed="false">
      <c r="A165" s="44"/>
      <c r="B165" s="45"/>
      <c r="C165" s="44"/>
      <c r="D165" s="44"/>
      <c r="E165" s="44"/>
      <c r="F165" s="44"/>
      <c r="G165" s="44"/>
      <c r="H165" s="44"/>
      <c r="I165" s="47"/>
      <c r="J165" s="47"/>
      <c r="K165" s="47"/>
      <c r="L165" s="47"/>
      <c r="M165" s="48"/>
      <c r="N165" s="49" t="str">
        <f aca="false">IF(C165="","",IFERROR(VLOOKUP(C165,Lists!$A$5:$C$8,2,FALSE()),""))</f>
        <v/>
      </c>
      <c r="O165" s="49" t="str">
        <f aca="false">IF(C165="","",IFERROR(VLOOKUP(C165,Lists!$A$5:$C$8,3,FALSE()),""))</f>
        <v/>
      </c>
      <c r="P165" s="50"/>
      <c r="Q165" s="50"/>
      <c r="R165" s="51" t="str">
        <f aca="false">IF(OR(I165="",L165="",M165="",N165="",O165=""),"",IF(F165="Long",(L165-I165)/N165*O165*M165,IF(F165="Short",(I165-L165)/N165*O165*M165,"")))</f>
        <v/>
      </c>
      <c r="S165" s="51" t="str">
        <f aca="false">IF(R165="","",R165-P165-Q165)</f>
        <v/>
      </c>
      <c r="T165" s="51" t="str">
        <f aca="false">IF(OR(I165="",J165="",M165="",N165="",O165=""),"",ABS(I165-J165)/N165*O165*M165+P165+Q165)</f>
        <v/>
      </c>
      <c r="U165" s="52" t="str">
        <f aca="false">IF(OR(S165="",T165="",T165=0),"",S165/T165)</f>
        <v/>
      </c>
      <c r="V165" s="50"/>
      <c r="W165" s="50"/>
      <c r="X165" s="44"/>
      <c r="Y165" s="44"/>
      <c r="Z165" s="44"/>
      <c r="AA165" s="44"/>
      <c r="AB165" s="52" t="str">
        <f aca="false">IF(OR(B165="",X165&lt;&gt;"Yes"),"",SUMIFS($U$6:U165,$X$6:X165,"Yes"))</f>
        <v/>
      </c>
      <c r="AC165" s="52" t="str">
        <f aca="false">IF(AB165="","",MAX($AB$6:AB165))</f>
        <v/>
      </c>
      <c r="AD165" s="52" t="str">
        <f aca="false">IF(AB165="","",AB165-AC165)</f>
        <v/>
      </c>
    </row>
    <row r="166" customFormat="false" ht="15" hidden="false" customHeight="false" outlineLevel="0" collapsed="false">
      <c r="A166" s="44"/>
      <c r="B166" s="45"/>
      <c r="C166" s="44"/>
      <c r="D166" s="44"/>
      <c r="E166" s="44"/>
      <c r="F166" s="44"/>
      <c r="G166" s="44"/>
      <c r="H166" s="44"/>
      <c r="I166" s="47"/>
      <c r="J166" s="47"/>
      <c r="K166" s="47"/>
      <c r="L166" s="47"/>
      <c r="M166" s="48"/>
      <c r="N166" s="49" t="str">
        <f aca="false">IF(C166="","",IFERROR(VLOOKUP(C166,Lists!$A$5:$C$8,2,FALSE()),""))</f>
        <v/>
      </c>
      <c r="O166" s="49" t="str">
        <f aca="false">IF(C166="","",IFERROR(VLOOKUP(C166,Lists!$A$5:$C$8,3,FALSE()),""))</f>
        <v/>
      </c>
      <c r="P166" s="50"/>
      <c r="Q166" s="50"/>
      <c r="R166" s="51" t="str">
        <f aca="false">IF(OR(I166="",L166="",M166="",N166="",O166=""),"",IF(F166="Long",(L166-I166)/N166*O166*M166,IF(F166="Short",(I166-L166)/N166*O166*M166,"")))</f>
        <v/>
      </c>
      <c r="S166" s="51" t="str">
        <f aca="false">IF(R166="","",R166-P166-Q166)</f>
        <v/>
      </c>
      <c r="T166" s="51" t="str">
        <f aca="false">IF(OR(I166="",J166="",M166="",N166="",O166=""),"",ABS(I166-J166)/N166*O166*M166+P166+Q166)</f>
        <v/>
      </c>
      <c r="U166" s="52" t="str">
        <f aca="false">IF(OR(S166="",T166="",T166=0),"",S166/T166)</f>
        <v/>
      </c>
      <c r="V166" s="50"/>
      <c r="W166" s="50"/>
      <c r="X166" s="44"/>
      <c r="Y166" s="44"/>
      <c r="Z166" s="44"/>
      <c r="AA166" s="44"/>
      <c r="AB166" s="52" t="str">
        <f aca="false">IF(OR(B166="",X166&lt;&gt;"Yes"),"",SUMIFS($U$6:U166,$X$6:X166,"Yes"))</f>
        <v/>
      </c>
      <c r="AC166" s="52" t="str">
        <f aca="false">IF(AB166="","",MAX($AB$6:AB166))</f>
        <v/>
      </c>
      <c r="AD166" s="52" t="str">
        <f aca="false">IF(AB166="","",AB166-AC166)</f>
        <v/>
      </c>
    </row>
    <row r="167" customFormat="false" ht="15" hidden="false" customHeight="false" outlineLevel="0" collapsed="false">
      <c r="A167" s="44"/>
      <c r="B167" s="45"/>
      <c r="C167" s="44"/>
      <c r="D167" s="44"/>
      <c r="E167" s="44"/>
      <c r="F167" s="44"/>
      <c r="G167" s="44"/>
      <c r="H167" s="44"/>
      <c r="I167" s="47"/>
      <c r="J167" s="47"/>
      <c r="K167" s="47"/>
      <c r="L167" s="47"/>
      <c r="M167" s="48"/>
      <c r="N167" s="49" t="str">
        <f aca="false">IF(C167="","",IFERROR(VLOOKUP(C167,Lists!$A$5:$C$8,2,FALSE()),""))</f>
        <v/>
      </c>
      <c r="O167" s="49" t="str">
        <f aca="false">IF(C167="","",IFERROR(VLOOKUP(C167,Lists!$A$5:$C$8,3,FALSE()),""))</f>
        <v/>
      </c>
      <c r="P167" s="50"/>
      <c r="Q167" s="50"/>
      <c r="R167" s="51" t="str">
        <f aca="false">IF(OR(I167="",L167="",M167="",N167="",O167=""),"",IF(F167="Long",(L167-I167)/N167*O167*M167,IF(F167="Short",(I167-L167)/N167*O167*M167,"")))</f>
        <v/>
      </c>
      <c r="S167" s="51" t="str">
        <f aca="false">IF(R167="","",R167-P167-Q167)</f>
        <v/>
      </c>
      <c r="T167" s="51" t="str">
        <f aca="false">IF(OR(I167="",J167="",M167="",N167="",O167=""),"",ABS(I167-J167)/N167*O167*M167+P167+Q167)</f>
        <v/>
      </c>
      <c r="U167" s="52" t="str">
        <f aca="false">IF(OR(S167="",T167="",T167=0),"",S167/T167)</f>
        <v/>
      </c>
      <c r="V167" s="50"/>
      <c r="W167" s="50"/>
      <c r="X167" s="44"/>
      <c r="Y167" s="44"/>
      <c r="Z167" s="44"/>
      <c r="AA167" s="44"/>
      <c r="AB167" s="52" t="str">
        <f aca="false">IF(OR(B167="",X167&lt;&gt;"Yes"),"",SUMIFS($U$6:U167,$X$6:X167,"Yes"))</f>
        <v/>
      </c>
      <c r="AC167" s="52" t="str">
        <f aca="false">IF(AB167="","",MAX($AB$6:AB167))</f>
        <v/>
      </c>
      <c r="AD167" s="52" t="str">
        <f aca="false">IF(AB167="","",AB167-AC167)</f>
        <v/>
      </c>
    </row>
    <row r="168" customFormat="false" ht="15" hidden="false" customHeight="false" outlineLevel="0" collapsed="false">
      <c r="A168" s="44"/>
      <c r="B168" s="45"/>
      <c r="C168" s="44"/>
      <c r="D168" s="44"/>
      <c r="E168" s="44"/>
      <c r="F168" s="44"/>
      <c r="G168" s="44"/>
      <c r="H168" s="44"/>
      <c r="I168" s="47"/>
      <c r="J168" s="47"/>
      <c r="K168" s="47"/>
      <c r="L168" s="47"/>
      <c r="M168" s="48"/>
      <c r="N168" s="49" t="str">
        <f aca="false">IF(C168="","",IFERROR(VLOOKUP(C168,Lists!$A$5:$C$8,2,FALSE()),""))</f>
        <v/>
      </c>
      <c r="O168" s="49" t="str">
        <f aca="false">IF(C168="","",IFERROR(VLOOKUP(C168,Lists!$A$5:$C$8,3,FALSE()),""))</f>
        <v/>
      </c>
      <c r="P168" s="50"/>
      <c r="Q168" s="50"/>
      <c r="R168" s="51" t="str">
        <f aca="false">IF(OR(I168="",L168="",M168="",N168="",O168=""),"",IF(F168="Long",(L168-I168)/N168*O168*M168,IF(F168="Short",(I168-L168)/N168*O168*M168,"")))</f>
        <v/>
      </c>
      <c r="S168" s="51" t="str">
        <f aca="false">IF(R168="","",R168-P168-Q168)</f>
        <v/>
      </c>
      <c r="T168" s="51" t="str">
        <f aca="false">IF(OR(I168="",J168="",M168="",N168="",O168=""),"",ABS(I168-J168)/N168*O168*M168+P168+Q168)</f>
        <v/>
      </c>
      <c r="U168" s="52" t="str">
        <f aca="false">IF(OR(S168="",T168="",T168=0),"",S168/T168)</f>
        <v/>
      </c>
      <c r="V168" s="50"/>
      <c r="W168" s="50"/>
      <c r="X168" s="44"/>
      <c r="Y168" s="44"/>
      <c r="Z168" s="44"/>
      <c r="AA168" s="44"/>
      <c r="AB168" s="52" t="str">
        <f aca="false">IF(OR(B168="",X168&lt;&gt;"Yes"),"",SUMIFS($U$6:U168,$X$6:X168,"Yes"))</f>
        <v/>
      </c>
      <c r="AC168" s="52" t="str">
        <f aca="false">IF(AB168="","",MAX($AB$6:AB168))</f>
        <v/>
      </c>
      <c r="AD168" s="52" t="str">
        <f aca="false">IF(AB168="","",AB168-AC168)</f>
        <v/>
      </c>
    </row>
    <row r="169" customFormat="false" ht="15" hidden="false" customHeight="false" outlineLevel="0" collapsed="false">
      <c r="A169" s="44"/>
      <c r="B169" s="45"/>
      <c r="C169" s="44"/>
      <c r="D169" s="44"/>
      <c r="E169" s="44"/>
      <c r="F169" s="44"/>
      <c r="G169" s="44"/>
      <c r="H169" s="44"/>
      <c r="I169" s="47"/>
      <c r="J169" s="47"/>
      <c r="K169" s="47"/>
      <c r="L169" s="47"/>
      <c r="M169" s="48"/>
      <c r="N169" s="49" t="str">
        <f aca="false">IF(C169="","",IFERROR(VLOOKUP(C169,Lists!$A$5:$C$8,2,FALSE()),""))</f>
        <v/>
      </c>
      <c r="O169" s="49" t="str">
        <f aca="false">IF(C169="","",IFERROR(VLOOKUP(C169,Lists!$A$5:$C$8,3,FALSE()),""))</f>
        <v/>
      </c>
      <c r="P169" s="50"/>
      <c r="Q169" s="50"/>
      <c r="R169" s="51" t="str">
        <f aca="false">IF(OR(I169="",L169="",M169="",N169="",O169=""),"",IF(F169="Long",(L169-I169)/N169*O169*M169,IF(F169="Short",(I169-L169)/N169*O169*M169,"")))</f>
        <v/>
      </c>
      <c r="S169" s="51" t="str">
        <f aca="false">IF(R169="","",R169-P169-Q169)</f>
        <v/>
      </c>
      <c r="T169" s="51" t="str">
        <f aca="false">IF(OR(I169="",J169="",M169="",N169="",O169=""),"",ABS(I169-J169)/N169*O169*M169+P169+Q169)</f>
        <v/>
      </c>
      <c r="U169" s="52" t="str">
        <f aca="false">IF(OR(S169="",T169="",T169=0),"",S169/T169)</f>
        <v/>
      </c>
      <c r="V169" s="50"/>
      <c r="W169" s="50"/>
      <c r="X169" s="44"/>
      <c r="Y169" s="44"/>
      <c r="Z169" s="44"/>
      <c r="AA169" s="44"/>
      <c r="AB169" s="52" t="str">
        <f aca="false">IF(OR(B169="",X169&lt;&gt;"Yes"),"",SUMIFS($U$6:U169,$X$6:X169,"Yes"))</f>
        <v/>
      </c>
      <c r="AC169" s="52" t="str">
        <f aca="false">IF(AB169="","",MAX($AB$6:AB169))</f>
        <v/>
      </c>
      <c r="AD169" s="52" t="str">
        <f aca="false">IF(AB169="","",AB169-AC169)</f>
        <v/>
      </c>
    </row>
    <row r="170" customFormat="false" ht="15" hidden="false" customHeight="false" outlineLevel="0" collapsed="false">
      <c r="A170" s="44"/>
      <c r="B170" s="45"/>
      <c r="C170" s="44"/>
      <c r="D170" s="44"/>
      <c r="E170" s="44"/>
      <c r="F170" s="44"/>
      <c r="G170" s="44"/>
      <c r="H170" s="44"/>
      <c r="I170" s="47"/>
      <c r="J170" s="47"/>
      <c r="K170" s="47"/>
      <c r="L170" s="47"/>
      <c r="M170" s="48"/>
      <c r="N170" s="49" t="str">
        <f aca="false">IF(C170="","",IFERROR(VLOOKUP(C170,Lists!$A$5:$C$8,2,FALSE()),""))</f>
        <v/>
      </c>
      <c r="O170" s="49" t="str">
        <f aca="false">IF(C170="","",IFERROR(VLOOKUP(C170,Lists!$A$5:$C$8,3,FALSE()),""))</f>
        <v/>
      </c>
      <c r="P170" s="50"/>
      <c r="Q170" s="50"/>
      <c r="R170" s="51" t="str">
        <f aca="false">IF(OR(I170="",L170="",M170="",N170="",O170=""),"",IF(F170="Long",(L170-I170)/N170*O170*M170,IF(F170="Short",(I170-L170)/N170*O170*M170,"")))</f>
        <v/>
      </c>
      <c r="S170" s="51" t="str">
        <f aca="false">IF(R170="","",R170-P170-Q170)</f>
        <v/>
      </c>
      <c r="T170" s="51" t="str">
        <f aca="false">IF(OR(I170="",J170="",M170="",N170="",O170=""),"",ABS(I170-J170)/N170*O170*M170+P170+Q170)</f>
        <v/>
      </c>
      <c r="U170" s="52" t="str">
        <f aca="false">IF(OR(S170="",T170="",T170=0),"",S170/T170)</f>
        <v/>
      </c>
      <c r="V170" s="50"/>
      <c r="W170" s="50"/>
      <c r="X170" s="44"/>
      <c r="Y170" s="44"/>
      <c r="Z170" s="44"/>
      <c r="AA170" s="44"/>
      <c r="AB170" s="52" t="str">
        <f aca="false">IF(OR(B170="",X170&lt;&gt;"Yes"),"",SUMIFS($U$6:U170,$X$6:X170,"Yes"))</f>
        <v/>
      </c>
      <c r="AC170" s="52" t="str">
        <f aca="false">IF(AB170="","",MAX($AB$6:AB170))</f>
        <v/>
      </c>
      <c r="AD170" s="52" t="str">
        <f aca="false">IF(AB170="","",AB170-AC170)</f>
        <v/>
      </c>
    </row>
    <row r="171" customFormat="false" ht="15" hidden="false" customHeight="false" outlineLevel="0" collapsed="false">
      <c r="A171" s="44"/>
      <c r="B171" s="45"/>
      <c r="C171" s="44"/>
      <c r="D171" s="44"/>
      <c r="E171" s="44"/>
      <c r="F171" s="44"/>
      <c r="G171" s="44"/>
      <c r="H171" s="44"/>
      <c r="I171" s="47"/>
      <c r="J171" s="47"/>
      <c r="K171" s="47"/>
      <c r="L171" s="47"/>
      <c r="M171" s="48"/>
      <c r="N171" s="49" t="str">
        <f aca="false">IF(C171="","",IFERROR(VLOOKUP(C171,Lists!$A$5:$C$8,2,FALSE()),""))</f>
        <v/>
      </c>
      <c r="O171" s="49" t="str">
        <f aca="false">IF(C171="","",IFERROR(VLOOKUP(C171,Lists!$A$5:$C$8,3,FALSE()),""))</f>
        <v/>
      </c>
      <c r="P171" s="50"/>
      <c r="Q171" s="50"/>
      <c r="R171" s="51" t="str">
        <f aca="false">IF(OR(I171="",L171="",M171="",N171="",O171=""),"",IF(F171="Long",(L171-I171)/N171*O171*M171,IF(F171="Short",(I171-L171)/N171*O171*M171,"")))</f>
        <v/>
      </c>
      <c r="S171" s="51" t="str">
        <f aca="false">IF(R171="","",R171-P171-Q171)</f>
        <v/>
      </c>
      <c r="T171" s="51" t="str">
        <f aca="false">IF(OR(I171="",J171="",M171="",N171="",O171=""),"",ABS(I171-J171)/N171*O171*M171+P171+Q171)</f>
        <v/>
      </c>
      <c r="U171" s="52" t="str">
        <f aca="false">IF(OR(S171="",T171="",T171=0),"",S171/T171)</f>
        <v/>
      </c>
      <c r="V171" s="50"/>
      <c r="W171" s="50"/>
      <c r="X171" s="44"/>
      <c r="Y171" s="44"/>
      <c r="Z171" s="44"/>
      <c r="AA171" s="44"/>
      <c r="AB171" s="52" t="str">
        <f aca="false">IF(OR(B171="",X171&lt;&gt;"Yes"),"",SUMIFS($U$6:U171,$X$6:X171,"Yes"))</f>
        <v/>
      </c>
      <c r="AC171" s="52" t="str">
        <f aca="false">IF(AB171="","",MAX($AB$6:AB171))</f>
        <v/>
      </c>
      <c r="AD171" s="52" t="str">
        <f aca="false">IF(AB171="","",AB171-AC171)</f>
        <v/>
      </c>
    </row>
    <row r="172" customFormat="false" ht="15" hidden="false" customHeight="false" outlineLevel="0" collapsed="false">
      <c r="A172" s="44"/>
      <c r="B172" s="45"/>
      <c r="C172" s="44"/>
      <c r="D172" s="44"/>
      <c r="E172" s="44"/>
      <c r="F172" s="44"/>
      <c r="G172" s="44"/>
      <c r="H172" s="44"/>
      <c r="I172" s="47"/>
      <c r="J172" s="47"/>
      <c r="K172" s="47"/>
      <c r="L172" s="47"/>
      <c r="M172" s="48"/>
      <c r="N172" s="49" t="str">
        <f aca="false">IF(C172="","",IFERROR(VLOOKUP(C172,Lists!$A$5:$C$8,2,FALSE()),""))</f>
        <v/>
      </c>
      <c r="O172" s="49" t="str">
        <f aca="false">IF(C172="","",IFERROR(VLOOKUP(C172,Lists!$A$5:$C$8,3,FALSE()),""))</f>
        <v/>
      </c>
      <c r="P172" s="50"/>
      <c r="Q172" s="50"/>
      <c r="R172" s="51" t="str">
        <f aca="false">IF(OR(I172="",L172="",M172="",N172="",O172=""),"",IF(F172="Long",(L172-I172)/N172*O172*M172,IF(F172="Short",(I172-L172)/N172*O172*M172,"")))</f>
        <v/>
      </c>
      <c r="S172" s="51" t="str">
        <f aca="false">IF(R172="","",R172-P172-Q172)</f>
        <v/>
      </c>
      <c r="T172" s="51" t="str">
        <f aca="false">IF(OR(I172="",J172="",M172="",N172="",O172=""),"",ABS(I172-J172)/N172*O172*M172+P172+Q172)</f>
        <v/>
      </c>
      <c r="U172" s="52" t="str">
        <f aca="false">IF(OR(S172="",T172="",T172=0),"",S172/T172)</f>
        <v/>
      </c>
      <c r="V172" s="50"/>
      <c r="W172" s="50"/>
      <c r="X172" s="44"/>
      <c r="Y172" s="44"/>
      <c r="Z172" s="44"/>
      <c r="AA172" s="44"/>
      <c r="AB172" s="52" t="str">
        <f aca="false">IF(OR(B172="",X172&lt;&gt;"Yes"),"",SUMIFS($U$6:U172,$X$6:X172,"Yes"))</f>
        <v/>
      </c>
      <c r="AC172" s="52" t="str">
        <f aca="false">IF(AB172="","",MAX($AB$6:AB172))</f>
        <v/>
      </c>
      <c r="AD172" s="52" t="str">
        <f aca="false">IF(AB172="","",AB172-AC172)</f>
        <v/>
      </c>
    </row>
    <row r="173" customFormat="false" ht="15" hidden="false" customHeight="false" outlineLevel="0" collapsed="false">
      <c r="A173" s="44"/>
      <c r="B173" s="45"/>
      <c r="C173" s="44"/>
      <c r="D173" s="44"/>
      <c r="E173" s="44"/>
      <c r="F173" s="44"/>
      <c r="G173" s="44"/>
      <c r="H173" s="44"/>
      <c r="I173" s="47"/>
      <c r="J173" s="47"/>
      <c r="K173" s="47"/>
      <c r="L173" s="47"/>
      <c r="M173" s="48"/>
      <c r="N173" s="49" t="str">
        <f aca="false">IF(C173="","",IFERROR(VLOOKUP(C173,Lists!$A$5:$C$8,2,FALSE()),""))</f>
        <v/>
      </c>
      <c r="O173" s="49" t="str">
        <f aca="false">IF(C173="","",IFERROR(VLOOKUP(C173,Lists!$A$5:$C$8,3,FALSE()),""))</f>
        <v/>
      </c>
      <c r="P173" s="50"/>
      <c r="Q173" s="50"/>
      <c r="R173" s="51" t="str">
        <f aca="false">IF(OR(I173="",L173="",M173="",N173="",O173=""),"",IF(F173="Long",(L173-I173)/N173*O173*M173,IF(F173="Short",(I173-L173)/N173*O173*M173,"")))</f>
        <v/>
      </c>
      <c r="S173" s="51" t="str">
        <f aca="false">IF(R173="","",R173-P173-Q173)</f>
        <v/>
      </c>
      <c r="T173" s="51" t="str">
        <f aca="false">IF(OR(I173="",J173="",M173="",N173="",O173=""),"",ABS(I173-J173)/N173*O173*M173+P173+Q173)</f>
        <v/>
      </c>
      <c r="U173" s="52" t="str">
        <f aca="false">IF(OR(S173="",T173="",T173=0),"",S173/T173)</f>
        <v/>
      </c>
      <c r="V173" s="50"/>
      <c r="W173" s="50"/>
      <c r="X173" s="44"/>
      <c r="Y173" s="44"/>
      <c r="Z173" s="44"/>
      <c r="AA173" s="44"/>
      <c r="AB173" s="52" t="str">
        <f aca="false">IF(OR(B173="",X173&lt;&gt;"Yes"),"",SUMIFS($U$6:U173,$X$6:X173,"Yes"))</f>
        <v/>
      </c>
      <c r="AC173" s="52" t="str">
        <f aca="false">IF(AB173="","",MAX($AB$6:AB173))</f>
        <v/>
      </c>
      <c r="AD173" s="52" t="str">
        <f aca="false">IF(AB173="","",AB173-AC173)</f>
        <v/>
      </c>
    </row>
    <row r="174" customFormat="false" ht="15" hidden="false" customHeight="false" outlineLevel="0" collapsed="false">
      <c r="A174" s="44"/>
      <c r="B174" s="45"/>
      <c r="C174" s="44"/>
      <c r="D174" s="44"/>
      <c r="E174" s="44"/>
      <c r="F174" s="44"/>
      <c r="G174" s="44"/>
      <c r="H174" s="44"/>
      <c r="I174" s="47"/>
      <c r="J174" s="47"/>
      <c r="K174" s="47"/>
      <c r="L174" s="47"/>
      <c r="M174" s="48"/>
      <c r="N174" s="49" t="str">
        <f aca="false">IF(C174="","",IFERROR(VLOOKUP(C174,Lists!$A$5:$C$8,2,FALSE()),""))</f>
        <v/>
      </c>
      <c r="O174" s="49" t="str">
        <f aca="false">IF(C174="","",IFERROR(VLOOKUP(C174,Lists!$A$5:$C$8,3,FALSE()),""))</f>
        <v/>
      </c>
      <c r="P174" s="50"/>
      <c r="Q174" s="50"/>
      <c r="R174" s="51" t="str">
        <f aca="false">IF(OR(I174="",L174="",M174="",N174="",O174=""),"",IF(F174="Long",(L174-I174)/N174*O174*M174,IF(F174="Short",(I174-L174)/N174*O174*M174,"")))</f>
        <v/>
      </c>
      <c r="S174" s="51" t="str">
        <f aca="false">IF(R174="","",R174-P174-Q174)</f>
        <v/>
      </c>
      <c r="T174" s="51" t="str">
        <f aca="false">IF(OR(I174="",J174="",M174="",N174="",O174=""),"",ABS(I174-J174)/N174*O174*M174+P174+Q174)</f>
        <v/>
      </c>
      <c r="U174" s="52" t="str">
        <f aca="false">IF(OR(S174="",T174="",T174=0),"",S174/T174)</f>
        <v/>
      </c>
      <c r="V174" s="50"/>
      <c r="W174" s="50"/>
      <c r="X174" s="44"/>
      <c r="Y174" s="44"/>
      <c r="Z174" s="44"/>
      <c r="AA174" s="44"/>
      <c r="AB174" s="52" t="str">
        <f aca="false">IF(OR(B174="",X174&lt;&gt;"Yes"),"",SUMIFS($U$6:U174,$X$6:X174,"Yes"))</f>
        <v/>
      </c>
      <c r="AC174" s="52" t="str">
        <f aca="false">IF(AB174="","",MAX($AB$6:AB174))</f>
        <v/>
      </c>
      <c r="AD174" s="52" t="str">
        <f aca="false">IF(AB174="","",AB174-AC174)</f>
        <v/>
      </c>
    </row>
    <row r="175" customFormat="false" ht="15" hidden="false" customHeight="false" outlineLevel="0" collapsed="false">
      <c r="A175" s="44"/>
      <c r="B175" s="45"/>
      <c r="C175" s="44"/>
      <c r="D175" s="44"/>
      <c r="E175" s="44"/>
      <c r="F175" s="44"/>
      <c r="G175" s="44"/>
      <c r="H175" s="44"/>
      <c r="I175" s="47"/>
      <c r="J175" s="47"/>
      <c r="K175" s="47"/>
      <c r="L175" s="47"/>
      <c r="M175" s="48"/>
      <c r="N175" s="49" t="str">
        <f aca="false">IF(C175="","",IFERROR(VLOOKUP(C175,Lists!$A$5:$C$8,2,FALSE()),""))</f>
        <v/>
      </c>
      <c r="O175" s="49" t="str">
        <f aca="false">IF(C175="","",IFERROR(VLOOKUP(C175,Lists!$A$5:$C$8,3,FALSE()),""))</f>
        <v/>
      </c>
      <c r="P175" s="50"/>
      <c r="Q175" s="50"/>
      <c r="R175" s="51" t="str">
        <f aca="false">IF(OR(I175="",L175="",M175="",N175="",O175=""),"",IF(F175="Long",(L175-I175)/N175*O175*M175,IF(F175="Short",(I175-L175)/N175*O175*M175,"")))</f>
        <v/>
      </c>
      <c r="S175" s="51" t="str">
        <f aca="false">IF(R175="","",R175-P175-Q175)</f>
        <v/>
      </c>
      <c r="T175" s="51" t="str">
        <f aca="false">IF(OR(I175="",J175="",M175="",N175="",O175=""),"",ABS(I175-J175)/N175*O175*M175+P175+Q175)</f>
        <v/>
      </c>
      <c r="U175" s="52" t="str">
        <f aca="false">IF(OR(S175="",T175="",T175=0),"",S175/T175)</f>
        <v/>
      </c>
      <c r="V175" s="50"/>
      <c r="W175" s="50"/>
      <c r="X175" s="44"/>
      <c r="Y175" s="44"/>
      <c r="Z175" s="44"/>
      <c r="AA175" s="44"/>
      <c r="AB175" s="52" t="str">
        <f aca="false">IF(OR(B175="",X175&lt;&gt;"Yes"),"",SUMIFS($U$6:U175,$X$6:X175,"Yes"))</f>
        <v/>
      </c>
      <c r="AC175" s="52" t="str">
        <f aca="false">IF(AB175="","",MAX($AB$6:AB175))</f>
        <v/>
      </c>
      <c r="AD175" s="52" t="str">
        <f aca="false">IF(AB175="","",AB175-AC175)</f>
        <v/>
      </c>
    </row>
    <row r="176" customFormat="false" ht="15" hidden="false" customHeight="false" outlineLevel="0" collapsed="false">
      <c r="A176" s="44"/>
      <c r="B176" s="45"/>
      <c r="C176" s="44"/>
      <c r="D176" s="44"/>
      <c r="E176" s="44"/>
      <c r="F176" s="44"/>
      <c r="G176" s="44"/>
      <c r="H176" s="44"/>
      <c r="I176" s="47"/>
      <c r="J176" s="47"/>
      <c r="K176" s="47"/>
      <c r="L176" s="47"/>
      <c r="M176" s="48"/>
      <c r="N176" s="49" t="str">
        <f aca="false">IF(C176="","",IFERROR(VLOOKUP(C176,Lists!$A$5:$C$8,2,FALSE()),""))</f>
        <v/>
      </c>
      <c r="O176" s="49" t="str">
        <f aca="false">IF(C176="","",IFERROR(VLOOKUP(C176,Lists!$A$5:$C$8,3,FALSE()),""))</f>
        <v/>
      </c>
      <c r="P176" s="50"/>
      <c r="Q176" s="50"/>
      <c r="R176" s="51" t="str">
        <f aca="false">IF(OR(I176="",L176="",M176="",N176="",O176=""),"",IF(F176="Long",(L176-I176)/N176*O176*M176,IF(F176="Short",(I176-L176)/N176*O176*M176,"")))</f>
        <v/>
      </c>
      <c r="S176" s="51" t="str">
        <f aca="false">IF(R176="","",R176-P176-Q176)</f>
        <v/>
      </c>
      <c r="T176" s="51" t="str">
        <f aca="false">IF(OR(I176="",J176="",M176="",N176="",O176=""),"",ABS(I176-J176)/N176*O176*M176+P176+Q176)</f>
        <v/>
      </c>
      <c r="U176" s="52" t="str">
        <f aca="false">IF(OR(S176="",T176="",T176=0),"",S176/T176)</f>
        <v/>
      </c>
      <c r="V176" s="50"/>
      <c r="W176" s="50"/>
      <c r="X176" s="44"/>
      <c r="Y176" s="44"/>
      <c r="Z176" s="44"/>
      <c r="AA176" s="44"/>
      <c r="AB176" s="52" t="str">
        <f aca="false">IF(OR(B176="",X176&lt;&gt;"Yes"),"",SUMIFS($U$6:U176,$X$6:X176,"Yes"))</f>
        <v/>
      </c>
      <c r="AC176" s="52" t="str">
        <f aca="false">IF(AB176="","",MAX($AB$6:AB176))</f>
        <v/>
      </c>
      <c r="AD176" s="52" t="str">
        <f aca="false">IF(AB176="","",AB176-AC176)</f>
        <v/>
      </c>
    </row>
    <row r="177" customFormat="false" ht="15" hidden="false" customHeight="false" outlineLevel="0" collapsed="false">
      <c r="A177" s="44"/>
      <c r="B177" s="45"/>
      <c r="C177" s="44"/>
      <c r="D177" s="44"/>
      <c r="E177" s="44"/>
      <c r="F177" s="44"/>
      <c r="G177" s="44"/>
      <c r="H177" s="44"/>
      <c r="I177" s="47"/>
      <c r="J177" s="47"/>
      <c r="K177" s="47"/>
      <c r="L177" s="47"/>
      <c r="M177" s="48"/>
      <c r="N177" s="49" t="str">
        <f aca="false">IF(C177="","",IFERROR(VLOOKUP(C177,Lists!$A$5:$C$8,2,FALSE()),""))</f>
        <v/>
      </c>
      <c r="O177" s="49" t="str">
        <f aca="false">IF(C177="","",IFERROR(VLOOKUP(C177,Lists!$A$5:$C$8,3,FALSE()),""))</f>
        <v/>
      </c>
      <c r="P177" s="50"/>
      <c r="Q177" s="50"/>
      <c r="R177" s="51" t="str">
        <f aca="false">IF(OR(I177="",L177="",M177="",N177="",O177=""),"",IF(F177="Long",(L177-I177)/N177*O177*M177,IF(F177="Short",(I177-L177)/N177*O177*M177,"")))</f>
        <v/>
      </c>
      <c r="S177" s="51" t="str">
        <f aca="false">IF(R177="","",R177-P177-Q177)</f>
        <v/>
      </c>
      <c r="T177" s="51" t="str">
        <f aca="false">IF(OR(I177="",J177="",M177="",N177="",O177=""),"",ABS(I177-J177)/N177*O177*M177+P177+Q177)</f>
        <v/>
      </c>
      <c r="U177" s="52" t="str">
        <f aca="false">IF(OR(S177="",T177="",T177=0),"",S177/T177)</f>
        <v/>
      </c>
      <c r="V177" s="50"/>
      <c r="W177" s="50"/>
      <c r="X177" s="44"/>
      <c r="Y177" s="44"/>
      <c r="Z177" s="44"/>
      <c r="AA177" s="44"/>
      <c r="AB177" s="52" t="str">
        <f aca="false">IF(OR(B177="",X177&lt;&gt;"Yes"),"",SUMIFS($U$6:U177,$X$6:X177,"Yes"))</f>
        <v/>
      </c>
      <c r="AC177" s="52" t="str">
        <f aca="false">IF(AB177="","",MAX($AB$6:AB177))</f>
        <v/>
      </c>
      <c r="AD177" s="52" t="str">
        <f aca="false">IF(AB177="","",AB177-AC177)</f>
        <v/>
      </c>
    </row>
    <row r="178" customFormat="false" ht="15" hidden="false" customHeight="false" outlineLevel="0" collapsed="false">
      <c r="A178" s="44"/>
      <c r="B178" s="45"/>
      <c r="C178" s="44"/>
      <c r="D178" s="44"/>
      <c r="E178" s="44"/>
      <c r="F178" s="44"/>
      <c r="G178" s="44"/>
      <c r="H178" s="44"/>
      <c r="I178" s="47"/>
      <c r="J178" s="47"/>
      <c r="K178" s="47"/>
      <c r="L178" s="47"/>
      <c r="M178" s="48"/>
      <c r="N178" s="49" t="str">
        <f aca="false">IF(C178="","",IFERROR(VLOOKUP(C178,Lists!$A$5:$C$8,2,FALSE()),""))</f>
        <v/>
      </c>
      <c r="O178" s="49" t="str">
        <f aca="false">IF(C178="","",IFERROR(VLOOKUP(C178,Lists!$A$5:$C$8,3,FALSE()),""))</f>
        <v/>
      </c>
      <c r="P178" s="50"/>
      <c r="Q178" s="50"/>
      <c r="R178" s="51" t="str">
        <f aca="false">IF(OR(I178="",L178="",M178="",N178="",O178=""),"",IF(F178="Long",(L178-I178)/N178*O178*M178,IF(F178="Short",(I178-L178)/N178*O178*M178,"")))</f>
        <v/>
      </c>
      <c r="S178" s="51" t="str">
        <f aca="false">IF(R178="","",R178-P178-Q178)</f>
        <v/>
      </c>
      <c r="T178" s="51" t="str">
        <f aca="false">IF(OR(I178="",J178="",M178="",N178="",O178=""),"",ABS(I178-J178)/N178*O178*M178+P178+Q178)</f>
        <v/>
      </c>
      <c r="U178" s="52" t="str">
        <f aca="false">IF(OR(S178="",T178="",T178=0),"",S178/T178)</f>
        <v/>
      </c>
      <c r="V178" s="50"/>
      <c r="W178" s="50"/>
      <c r="X178" s="44"/>
      <c r="Y178" s="44"/>
      <c r="Z178" s="44"/>
      <c r="AA178" s="44"/>
      <c r="AB178" s="52" t="str">
        <f aca="false">IF(OR(B178="",X178&lt;&gt;"Yes"),"",SUMIFS($U$6:U178,$X$6:X178,"Yes"))</f>
        <v/>
      </c>
      <c r="AC178" s="52" t="str">
        <f aca="false">IF(AB178="","",MAX($AB$6:AB178))</f>
        <v/>
      </c>
      <c r="AD178" s="52" t="str">
        <f aca="false">IF(AB178="","",AB178-AC178)</f>
        <v/>
      </c>
    </row>
    <row r="179" customFormat="false" ht="15" hidden="false" customHeight="false" outlineLevel="0" collapsed="false">
      <c r="A179" s="44"/>
      <c r="B179" s="45"/>
      <c r="C179" s="44"/>
      <c r="D179" s="44"/>
      <c r="E179" s="44"/>
      <c r="F179" s="44"/>
      <c r="G179" s="44"/>
      <c r="H179" s="44"/>
      <c r="I179" s="47"/>
      <c r="J179" s="47"/>
      <c r="K179" s="47"/>
      <c r="L179" s="47"/>
      <c r="M179" s="48"/>
      <c r="N179" s="49" t="str">
        <f aca="false">IF(C179="","",IFERROR(VLOOKUP(C179,Lists!$A$5:$C$8,2,FALSE()),""))</f>
        <v/>
      </c>
      <c r="O179" s="49" t="str">
        <f aca="false">IF(C179="","",IFERROR(VLOOKUP(C179,Lists!$A$5:$C$8,3,FALSE()),""))</f>
        <v/>
      </c>
      <c r="P179" s="50"/>
      <c r="Q179" s="50"/>
      <c r="R179" s="51" t="str">
        <f aca="false">IF(OR(I179="",L179="",M179="",N179="",O179=""),"",IF(F179="Long",(L179-I179)/N179*O179*M179,IF(F179="Short",(I179-L179)/N179*O179*M179,"")))</f>
        <v/>
      </c>
      <c r="S179" s="51" t="str">
        <f aca="false">IF(R179="","",R179-P179-Q179)</f>
        <v/>
      </c>
      <c r="T179" s="51" t="str">
        <f aca="false">IF(OR(I179="",J179="",M179="",N179="",O179=""),"",ABS(I179-J179)/N179*O179*M179+P179+Q179)</f>
        <v/>
      </c>
      <c r="U179" s="52" t="str">
        <f aca="false">IF(OR(S179="",T179="",T179=0),"",S179/T179)</f>
        <v/>
      </c>
      <c r="V179" s="50"/>
      <c r="W179" s="50"/>
      <c r="X179" s="44"/>
      <c r="Y179" s="44"/>
      <c r="Z179" s="44"/>
      <c r="AA179" s="44"/>
      <c r="AB179" s="52" t="str">
        <f aca="false">IF(OR(B179="",X179&lt;&gt;"Yes"),"",SUMIFS($U$6:U179,$X$6:X179,"Yes"))</f>
        <v/>
      </c>
      <c r="AC179" s="52" t="str">
        <f aca="false">IF(AB179="","",MAX($AB$6:AB179))</f>
        <v/>
      </c>
      <c r="AD179" s="52" t="str">
        <f aca="false">IF(AB179="","",AB179-AC179)</f>
        <v/>
      </c>
    </row>
    <row r="180" customFormat="false" ht="15" hidden="false" customHeight="false" outlineLevel="0" collapsed="false">
      <c r="A180" s="44"/>
      <c r="B180" s="45"/>
      <c r="C180" s="44"/>
      <c r="D180" s="44"/>
      <c r="E180" s="44"/>
      <c r="F180" s="44"/>
      <c r="G180" s="44"/>
      <c r="H180" s="44"/>
      <c r="I180" s="47"/>
      <c r="J180" s="47"/>
      <c r="K180" s="47"/>
      <c r="L180" s="47"/>
      <c r="M180" s="48"/>
      <c r="N180" s="49" t="str">
        <f aca="false">IF(C180="","",IFERROR(VLOOKUP(C180,Lists!$A$5:$C$8,2,FALSE()),""))</f>
        <v/>
      </c>
      <c r="O180" s="49" t="str">
        <f aca="false">IF(C180="","",IFERROR(VLOOKUP(C180,Lists!$A$5:$C$8,3,FALSE()),""))</f>
        <v/>
      </c>
      <c r="P180" s="50"/>
      <c r="Q180" s="50"/>
      <c r="R180" s="51" t="str">
        <f aca="false">IF(OR(I180="",L180="",M180="",N180="",O180=""),"",IF(F180="Long",(L180-I180)/N180*O180*M180,IF(F180="Short",(I180-L180)/N180*O180*M180,"")))</f>
        <v/>
      </c>
      <c r="S180" s="51" t="str">
        <f aca="false">IF(R180="","",R180-P180-Q180)</f>
        <v/>
      </c>
      <c r="T180" s="51" t="str">
        <f aca="false">IF(OR(I180="",J180="",M180="",N180="",O180=""),"",ABS(I180-J180)/N180*O180*M180+P180+Q180)</f>
        <v/>
      </c>
      <c r="U180" s="52" t="str">
        <f aca="false">IF(OR(S180="",T180="",T180=0),"",S180/T180)</f>
        <v/>
      </c>
      <c r="V180" s="50"/>
      <c r="W180" s="50"/>
      <c r="X180" s="44"/>
      <c r="Y180" s="44"/>
      <c r="Z180" s="44"/>
      <c r="AA180" s="44"/>
      <c r="AB180" s="52" t="str">
        <f aca="false">IF(OR(B180="",X180&lt;&gt;"Yes"),"",SUMIFS($U$6:U180,$X$6:X180,"Yes"))</f>
        <v/>
      </c>
      <c r="AC180" s="52" t="str">
        <f aca="false">IF(AB180="","",MAX($AB$6:AB180))</f>
        <v/>
      </c>
      <c r="AD180" s="52" t="str">
        <f aca="false">IF(AB180="","",AB180-AC180)</f>
        <v/>
      </c>
    </row>
    <row r="181" customFormat="false" ht="15" hidden="false" customHeight="false" outlineLevel="0" collapsed="false">
      <c r="A181" s="44"/>
      <c r="B181" s="45"/>
      <c r="C181" s="44"/>
      <c r="D181" s="44"/>
      <c r="E181" s="44"/>
      <c r="F181" s="44"/>
      <c r="G181" s="44"/>
      <c r="H181" s="44"/>
      <c r="I181" s="47"/>
      <c r="J181" s="47"/>
      <c r="K181" s="47"/>
      <c r="L181" s="47"/>
      <c r="M181" s="48"/>
      <c r="N181" s="49" t="str">
        <f aca="false">IF(C181="","",IFERROR(VLOOKUP(C181,Lists!$A$5:$C$8,2,FALSE()),""))</f>
        <v/>
      </c>
      <c r="O181" s="49" t="str">
        <f aca="false">IF(C181="","",IFERROR(VLOOKUP(C181,Lists!$A$5:$C$8,3,FALSE()),""))</f>
        <v/>
      </c>
      <c r="P181" s="50"/>
      <c r="Q181" s="50"/>
      <c r="R181" s="51" t="str">
        <f aca="false">IF(OR(I181="",L181="",M181="",N181="",O181=""),"",IF(F181="Long",(L181-I181)/N181*O181*M181,IF(F181="Short",(I181-L181)/N181*O181*M181,"")))</f>
        <v/>
      </c>
      <c r="S181" s="51" t="str">
        <f aca="false">IF(R181="","",R181-P181-Q181)</f>
        <v/>
      </c>
      <c r="T181" s="51" t="str">
        <f aca="false">IF(OR(I181="",J181="",M181="",N181="",O181=""),"",ABS(I181-J181)/N181*O181*M181+P181+Q181)</f>
        <v/>
      </c>
      <c r="U181" s="52" t="str">
        <f aca="false">IF(OR(S181="",T181="",T181=0),"",S181/T181)</f>
        <v/>
      </c>
      <c r="V181" s="50"/>
      <c r="W181" s="50"/>
      <c r="X181" s="44"/>
      <c r="Y181" s="44"/>
      <c r="Z181" s="44"/>
      <c r="AA181" s="44"/>
      <c r="AB181" s="52" t="str">
        <f aca="false">IF(OR(B181="",X181&lt;&gt;"Yes"),"",SUMIFS($U$6:U181,$X$6:X181,"Yes"))</f>
        <v/>
      </c>
      <c r="AC181" s="52" t="str">
        <f aca="false">IF(AB181="","",MAX($AB$6:AB181))</f>
        <v/>
      </c>
      <c r="AD181" s="52" t="str">
        <f aca="false">IF(AB181="","",AB181-AC181)</f>
        <v/>
      </c>
    </row>
    <row r="182" customFormat="false" ht="15" hidden="false" customHeight="false" outlineLevel="0" collapsed="false">
      <c r="A182" s="44"/>
      <c r="B182" s="45"/>
      <c r="C182" s="44"/>
      <c r="D182" s="44"/>
      <c r="E182" s="44"/>
      <c r="F182" s="44"/>
      <c r="G182" s="44"/>
      <c r="H182" s="44"/>
      <c r="I182" s="47"/>
      <c r="J182" s="47"/>
      <c r="K182" s="47"/>
      <c r="L182" s="47"/>
      <c r="M182" s="48"/>
      <c r="N182" s="49" t="str">
        <f aca="false">IF(C182="","",IFERROR(VLOOKUP(C182,Lists!$A$5:$C$8,2,FALSE()),""))</f>
        <v/>
      </c>
      <c r="O182" s="49" t="str">
        <f aca="false">IF(C182="","",IFERROR(VLOOKUP(C182,Lists!$A$5:$C$8,3,FALSE()),""))</f>
        <v/>
      </c>
      <c r="P182" s="50"/>
      <c r="Q182" s="50"/>
      <c r="R182" s="51" t="str">
        <f aca="false">IF(OR(I182="",L182="",M182="",N182="",O182=""),"",IF(F182="Long",(L182-I182)/N182*O182*M182,IF(F182="Short",(I182-L182)/N182*O182*M182,"")))</f>
        <v/>
      </c>
      <c r="S182" s="51" t="str">
        <f aca="false">IF(R182="","",R182-P182-Q182)</f>
        <v/>
      </c>
      <c r="T182" s="51" t="str">
        <f aca="false">IF(OR(I182="",J182="",M182="",N182="",O182=""),"",ABS(I182-J182)/N182*O182*M182+P182+Q182)</f>
        <v/>
      </c>
      <c r="U182" s="52" t="str">
        <f aca="false">IF(OR(S182="",T182="",T182=0),"",S182/T182)</f>
        <v/>
      </c>
      <c r="V182" s="50"/>
      <c r="W182" s="50"/>
      <c r="X182" s="44"/>
      <c r="Y182" s="44"/>
      <c r="Z182" s="44"/>
      <c r="AA182" s="44"/>
      <c r="AB182" s="52" t="str">
        <f aca="false">IF(OR(B182="",X182&lt;&gt;"Yes"),"",SUMIFS($U$6:U182,$X$6:X182,"Yes"))</f>
        <v/>
      </c>
      <c r="AC182" s="52" t="str">
        <f aca="false">IF(AB182="","",MAX($AB$6:AB182))</f>
        <v/>
      </c>
      <c r="AD182" s="52" t="str">
        <f aca="false">IF(AB182="","",AB182-AC182)</f>
        <v/>
      </c>
    </row>
    <row r="183" customFormat="false" ht="15" hidden="false" customHeight="false" outlineLevel="0" collapsed="false">
      <c r="A183" s="44"/>
      <c r="B183" s="45"/>
      <c r="C183" s="44"/>
      <c r="D183" s="44"/>
      <c r="E183" s="44"/>
      <c r="F183" s="44"/>
      <c r="G183" s="44"/>
      <c r="H183" s="44"/>
      <c r="I183" s="47"/>
      <c r="J183" s="47"/>
      <c r="K183" s="47"/>
      <c r="L183" s="47"/>
      <c r="M183" s="48"/>
      <c r="N183" s="49" t="str">
        <f aca="false">IF(C183="","",IFERROR(VLOOKUP(C183,Lists!$A$5:$C$8,2,FALSE()),""))</f>
        <v/>
      </c>
      <c r="O183" s="49" t="str">
        <f aca="false">IF(C183="","",IFERROR(VLOOKUP(C183,Lists!$A$5:$C$8,3,FALSE()),""))</f>
        <v/>
      </c>
      <c r="P183" s="50"/>
      <c r="Q183" s="50"/>
      <c r="R183" s="51" t="str">
        <f aca="false">IF(OR(I183="",L183="",M183="",N183="",O183=""),"",IF(F183="Long",(L183-I183)/N183*O183*M183,IF(F183="Short",(I183-L183)/N183*O183*M183,"")))</f>
        <v/>
      </c>
      <c r="S183" s="51" t="str">
        <f aca="false">IF(R183="","",R183-P183-Q183)</f>
        <v/>
      </c>
      <c r="T183" s="51" t="str">
        <f aca="false">IF(OR(I183="",J183="",M183="",N183="",O183=""),"",ABS(I183-J183)/N183*O183*M183+P183+Q183)</f>
        <v/>
      </c>
      <c r="U183" s="52" t="str">
        <f aca="false">IF(OR(S183="",T183="",T183=0),"",S183/T183)</f>
        <v/>
      </c>
      <c r="V183" s="50"/>
      <c r="W183" s="50"/>
      <c r="X183" s="44"/>
      <c r="Y183" s="44"/>
      <c r="Z183" s="44"/>
      <c r="AA183" s="44"/>
      <c r="AB183" s="52" t="str">
        <f aca="false">IF(OR(B183="",X183&lt;&gt;"Yes"),"",SUMIFS($U$6:U183,$X$6:X183,"Yes"))</f>
        <v/>
      </c>
      <c r="AC183" s="52" t="str">
        <f aca="false">IF(AB183="","",MAX($AB$6:AB183))</f>
        <v/>
      </c>
      <c r="AD183" s="52" t="str">
        <f aca="false">IF(AB183="","",AB183-AC183)</f>
        <v/>
      </c>
    </row>
    <row r="184" customFormat="false" ht="15" hidden="false" customHeight="false" outlineLevel="0" collapsed="false">
      <c r="A184" s="44"/>
      <c r="B184" s="45"/>
      <c r="C184" s="44"/>
      <c r="D184" s="44"/>
      <c r="E184" s="44"/>
      <c r="F184" s="44"/>
      <c r="G184" s="44"/>
      <c r="H184" s="44"/>
      <c r="I184" s="47"/>
      <c r="J184" s="47"/>
      <c r="K184" s="47"/>
      <c r="L184" s="47"/>
      <c r="M184" s="48"/>
      <c r="N184" s="49" t="str">
        <f aca="false">IF(C184="","",IFERROR(VLOOKUP(C184,Lists!$A$5:$C$8,2,FALSE()),""))</f>
        <v/>
      </c>
      <c r="O184" s="49" t="str">
        <f aca="false">IF(C184="","",IFERROR(VLOOKUP(C184,Lists!$A$5:$C$8,3,FALSE()),""))</f>
        <v/>
      </c>
      <c r="P184" s="50"/>
      <c r="Q184" s="50"/>
      <c r="R184" s="51" t="str">
        <f aca="false">IF(OR(I184="",L184="",M184="",N184="",O184=""),"",IF(F184="Long",(L184-I184)/N184*O184*M184,IF(F184="Short",(I184-L184)/N184*O184*M184,"")))</f>
        <v/>
      </c>
      <c r="S184" s="51" t="str">
        <f aca="false">IF(R184="","",R184-P184-Q184)</f>
        <v/>
      </c>
      <c r="T184" s="51" t="str">
        <f aca="false">IF(OR(I184="",J184="",M184="",N184="",O184=""),"",ABS(I184-J184)/N184*O184*M184+P184+Q184)</f>
        <v/>
      </c>
      <c r="U184" s="52" t="str">
        <f aca="false">IF(OR(S184="",T184="",T184=0),"",S184/T184)</f>
        <v/>
      </c>
      <c r="V184" s="50"/>
      <c r="W184" s="50"/>
      <c r="X184" s="44"/>
      <c r="Y184" s="44"/>
      <c r="Z184" s="44"/>
      <c r="AA184" s="44"/>
      <c r="AB184" s="52" t="str">
        <f aca="false">IF(OR(B184="",X184&lt;&gt;"Yes"),"",SUMIFS($U$6:U184,$X$6:X184,"Yes"))</f>
        <v/>
      </c>
      <c r="AC184" s="52" t="str">
        <f aca="false">IF(AB184="","",MAX($AB$6:AB184))</f>
        <v/>
      </c>
      <c r="AD184" s="52" t="str">
        <f aca="false">IF(AB184="","",AB184-AC184)</f>
        <v/>
      </c>
    </row>
    <row r="185" customFormat="false" ht="15" hidden="false" customHeight="false" outlineLevel="0" collapsed="false">
      <c r="A185" s="44"/>
      <c r="B185" s="45"/>
      <c r="C185" s="44"/>
      <c r="D185" s="44"/>
      <c r="E185" s="44"/>
      <c r="F185" s="44"/>
      <c r="G185" s="44"/>
      <c r="H185" s="44"/>
      <c r="I185" s="47"/>
      <c r="J185" s="47"/>
      <c r="K185" s="47"/>
      <c r="L185" s="47"/>
      <c r="M185" s="48"/>
      <c r="N185" s="49" t="str">
        <f aca="false">IF(C185="","",IFERROR(VLOOKUP(C185,Lists!$A$5:$C$8,2,FALSE()),""))</f>
        <v/>
      </c>
      <c r="O185" s="49" t="str">
        <f aca="false">IF(C185="","",IFERROR(VLOOKUP(C185,Lists!$A$5:$C$8,3,FALSE()),""))</f>
        <v/>
      </c>
      <c r="P185" s="50"/>
      <c r="Q185" s="50"/>
      <c r="R185" s="51" t="str">
        <f aca="false">IF(OR(I185="",L185="",M185="",N185="",O185=""),"",IF(F185="Long",(L185-I185)/N185*O185*M185,IF(F185="Short",(I185-L185)/N185*O185*M185,"")))</f>
        <v/>
      </c>
      <c r="S185" s="51" t="str">
        <f aca="false">IF(R185="","",R185-P185-Q185)</f>
        <v/>
      </c>
      <c r="T185" s="51" t="str">
        <f aca="false">IF(OR(I185="",J185="",M185="",N185="",O185=""),"",ABS(I185-J185)/N185*O185*M185+P185+Q185)</f>
        <v/>
      </c>
      <c r="U185" s="52" t="str">
        <f aca="false">IF(OR(S185="",T185="",T185=0),"",S185/T185)</f>
        <v/>
      </c>
      <c r="V185" s="50"/>
      <c r="W185" s="50"/>
      <c r="X185" s="44"/>
      <c r="Y185" s="44"/>
      <c r="Z185" s="44"/>
      <c r="AA185" s="44"/>
      <c r="AB185" s="52" t="str">
        <f aca="false">IF(OR(B185="",X185&lt;&gt;"Yes"),"",SUMIFS($U$6:U185,$X$6:X185,"Yes"))</f>
        <v/>
      </c>
      <c r="AC185" s="52" t="str">
        <f aca="false">IF(AB185="","",MAX($AB$6:AB185))</f>
        <v/>
      </c>
      <c r="AD185" s="52" t="str">
        <f aca="false">IF(AB185="","",AB185-AC185)</f>
        <v/>
      </c>
    </row>
    <row r="186" customFormat="false" ht="15" hidden="false" customHeight="false" outlineLevel="0" collapsed="false">
      <c r="A186" s="44"/>
      <c r="B186" s="45"/>
      <c r="C186" s="44"/>
      <c r="D186" s="44"/>
      <c r="E186" s="44"/>
      <c r="F186" s="44"/>
      <c r="G186" s="44"/>
      <c r="H186" s="44"/>
      <c r="I186" s="47"/>
      <c r="J186" s="47"/>
      <c r="K186" s="47"/>
      <c r="L186" s="47"/>
      <c r="M186" s="48"/>
      <c r="N186" s="49" t="str">
        <f aca="false">IF(C186="","",IFERROR(VLOOKUP(C186,Lists!$A$5:$C$8,2,FALSE()),""))</f>
        <v/>
      </c>
      <c r="O186" s="49" t="str">
        <f aca="false">IF(C186="","",IFERROR(VLOOKUP(C186,Lists!$A$5:$C$8,3,FALSE()),""))</f>
        <v/>
      </c>
      <c r="P186" s="50"/>
      <c r="Q186" s="50"/>
      <c r="R186" s="51" t="str">
        <f aca="false">IF(OR(I186="",L186="",M186="",N186="",O186=""),"",IF(F186="Long",(L186-I186)/N186*O186*M186,IF(F186="Short",(I186-L186)/N186*O186*M186,"")))</f>
        <v/>
      </c>
      <c r="S186" s="51" t="str">
        <f aca="false">IF(R186="","",R186-P186-Q186)</f>
        <v/>
      </c>
      <c r="T186" s="51" t="str">
        <f aca="false">IF(OR(I186="",J186="",M186="",N186="",O186=""),"",ABS(I186-J186)/N186*O186*M186+P186+Q186)</f>
        <v/>
      </c>
      <c r="U186" s="52" t="str">
        <f aca="false">IF(OR(S186="",T186="",T186=0),"",S186/T186)</f>
        <v/>
      </c>
      <c r="V186" s="50"/>
      <c r="W186" s="50"/>
      <c r="X186" s="44"/>
      <c r="Y186" s="44"/>
      <c r="Z186" s="44"/>
      <c r="AA186" s="44"/>
      <c r="AB186" s="52" t="str">
        <f aca="false">IF(OR(B186="",X186&lt;&gt;"Yes"),"",SUMIFS($U$6:U186,$X$6:X186,"Yes"))</f>
        <v/>
      </c>
      <c r="AC186" s="52" t="str">
        <f aca="false">IF(AB186="","",MAX($AB$6:AB186))</f>
        <v/>
      </c>
      <c r="AD186" s="52" t="str">
        <f aca="false">IF(AB186="","",AB186-AC186)</f>
        <v/>
      </c>
    </row>
    <row r="187" customFormat="false" ht="15" hidden="false" customHeight="false" outlineLevel="0" collapsed="false">
      <c r="A187" s="44"/>
      <c r="B187" s="45"/>
      <c r="C187" s="44"/>
      <c r="D187" s="44"/>
      <c r="E187" s="44"/>
      <c r="F187" s="44"/>
      <c r="G187" s="44"/>
      <c r="H187" s="44"/>
      <c r="I187" s="47"/>
      <c r="J187" s="47"/>
      <c r="K187" s="47"/>
      <c r="L187" s="47"/>
      <c r="M187" s="48"/>
      <c r="N187" s="49" t="str">
        <f aca="false">IF(C187="","",IFERROR(VLOOKUP(C187,Lists!$A$5:$C$8,2,FALSE()),""))</f>
        <v/>
      </c>
      <c r="O187" s="49" t="str">
        <f aca="false">IF(C187="","",IFERROR(VLOOKUP(C187,Lists!$A$5:$C$8,3,FALSE()),""))</f>
        <v/>
      </c>
      <c r="P187" s="50"/>
      <c r="Q187" s="50"/>
      <c r="R187" s="51" t="str">
        <f aca="false">IF(OR(I187="",L187="",M187="",N187="",O187=""),"",IF(F187="Long",(L187-I187)/N187*O187*M187,IF(F187="Short",(I187-L187)/N187*O187*M187,"")))</f>
        <v/>
      </c>
      <c r="S187" s="51" t="str">
        <f aca="false">IF(R187="","",R187-P187-Q187)</f>
        <v/>
      </c>
      <c r="T187" s="51" t="str">
        <f aca="false">IF(OR(I187="",J187="",M187="",N187="",O187=""),"",ABS(I187-J187)/N187*O187*M187+P187+Q187)</f>
        <v/>
      </c>
      <c r="U187" s="52" t="str">
        <f aca="false">IF(OR(S187="",T187="",T187=0),"",S187/T187)</f>
        <v/>
      </c>
      <c r="V187" s="50"/>
      <c r="W187" s="50"/>
      <c r="X187" s="44"/>
      <c r="Y187" s="44"/>
      <c r="Z187" s="44"/>
      <c r="AA187" s="44"/>
      <c r="AB187" s="52" t="str">
        <f aca="false">IF(OR(B187="",X187&lt;&gt;"Yes"),"",SUMIFS($U$6:U187,$X$6:X187,"Yes"))</f>
        <v/>
      </c>
      <c r="AC187" s="52" t="str">
        <f aca="false">IF(AB187="","",MAX($AB$6:AB187))</f>
        <v/>
      </c>
      <c r="AD187" s="52" t="str">
        <f aca="false">IF(AB187="","",AB187-AC187)</f>
        <v/>
      </c>
    </row>
    <row r="188" customFormat="false" ht="15" hidden="false" customHeight="false" outlineLevel="0" collapsed="false">
      <c r="A188" s="44"/>
      <c r="B188" s="45"/>
      <c r="C188" s="44"/>
      <c r="D188" s="44"/>
      <c r="E188" s="44"/>
      <c r="F188" s="44"/>
      <c r="G188" s="44"/>
      <c r="H188" s="44"/>
      <c r="I188" s="47"/>
      <c r="J188" s="47"/>
      <c r="K188" s="47"/>
      <c r="L188" s="47"/>
      <c r="M188" s="48"/>
      <c r="N188" s="49" t="str">
        <f aca="false">IF(C188="","",IFERROR(VLOOKUP(C188,Lists!$A$5:$C$8,2,FALSE()),""))</f>
        <v/>
      </c>
      <c r="O188" s="49" t="str">
        <f aca="false">IF(C188="","",IFERROR(VLOOKUP(C188,Lists!$A$5:$C$8,3,FALSE()),""))</f>
        <v/>
      </c>
      <c r="P188" s="50"/>
      <c r="Q188" s="50"/>
      <c r="R188" s="51" t="str">
        <f aca="false">IF(OR(I188="",L188="",M188="",N188="",O188=""),"",IF(F188="Long",(L188-I188)/N188*O188*M188,IF(F188="Short",(I188-L188)/N188*O188*M188,"")))</f>
        <v/>
      </c>
      <c r="S188" s="51" t="str">
        <f aca="false">IF(R188="","",R188-P188-Q188)</f>
        <v/>
      </c>
      <c r="T188" s="51" t="str">
        <f aca="false">IF(OR(I188="",J188="",M188="",N188="",O188=""),"",ABS(I188-J188)/N188*O188*M188+P188+Q188)</f>
        <v/>
      </c>
      <c r="U188" s="52" t="str">
        <f aca="false">IF(OR(S188="",T188="",T188=0),"",S188/T188)</f>
        <v/>
      </c>
      <c r="V188" s="50"/>
      <c r="W188" s="50"/>
      <c r="X188" s="44"/>
      <c r="Y188" s="44"/>
      <c r="Z188" s="44"/>
      <c r="AA188" s="44"/>
      <c r="AB188" s="52" t="str">
        <f aca="false">IF(OR(B188="",X188&lt;&gt;"Yes"),"",SUMIFS($U$6:U188,$X$6:X188,"Yes"))</f>
        <v/>
      </c>
      <c r="AC188" s="52" t="str">
        <f aca="false">IF(AB188="","",MAX($AB$6:AB188))</f>
        <v/>
      </c>
      <c r="AD188" s="52" t="str">
        <f aca="false">IF(AB188="","",AB188-AC188)</f>
        <v/>
      </c>
    </row>
    <row r="189" customFormat="false" ht="15" hidden="false" customHeight="false" outlineLevel="0" collapsed="false">
      <c r="A189" s="44"/>
      <c r="B189" s="45"/>
      <c r="C189" s="44"/>
      <c r="D189" s="44"/>
      <c r="E189" s="44"/>
      <c r="F189" s="44"/>
      <c r="G189" s="44"/>
      <c r="H189" s="44"/>
      <c r="I189" s="47"/>
      <c r="J189" s="47"/>
      <c r="K189" s="47"/>
      <c r="L189" s="47"/>
      <c r="M189" s="48"/>
      <c r="N189" s="49" t="str">
        <f aca="false">IF(C189="","",IFERROR(VLOOKUP(C189,Lists!$A$5:$C$8,2,FALSE()),""))</f>
        <v/>
      </c>
      <c r="O189" s="49" t="str">
        <f aca="false">IF(C189="","",IFERROR(VLOOKUP(C189,Lists!$A$5:$C$8,3,FALSE()),""))</f>
        <v/>
      </c>
      <c r="P189" s="50"/>
      <c r="Q189" s="50"/>
      <c r="R189" s="51" t="str">
        <f aca="false">IF(OR(I189="",L189="",M189="",N189="",O189=""),"",IF(F189="Long",(L189-I189)/N189*O189*M189,IF(F189="Short",(I189-L189)/N189*O189*M189,"")))</f>
        <v/>
      </c>
      <c r="S189" s="51" t="str">
        <f aca="false">IF(R189="","",R189-P189-Q189)</f>
        <v/>
      </c>
      <c r="T189" s="51" t="str">
        <f aca="false">IF(OR(I189="",J189="",M189="",N189="",O189=""),"",ABS(I189-J189)/N189*O189*M189+P189+Q189)</f>
        <v/>
      </c>
      <c r="U189" s="52" t="str">
        <f aca="false">IF(OR(S189="",T189="",T189=0),"",S189/T189)</f>
        <v/>
      </c>
      <c r="V189" s="50"/>
      <c r="W189" s="50"/>
      <c r="X189" s="44"/>
      <c r="Y189" s="44"/>
      <c r="Z189" s="44"/>
      <c r="AA189" s="44"/>
      <c r="AB189" s="52" t="str">
        <f aca="false">IF(OR(B189="",X189&lt;&gt;"Yes"),"",SUMIFS($U$6:U189,$X$6:X189,"Yes"))</f>
        <v/>
      </c>
      <c r="AC189" s="52" t="str">
        <f aca="false">IF(AB189="","",MAX($AB$6:AB189))</f>
        <v/>
      </c>
      <c r="AD189" s="52" t="str">
        <f aca="false">IF(AB189="","",AB189-AC189)</f>
        <v/>
      </c>
    </row>
    <row r="190" customFormat="false" ht="15" hidden="false" customHeight="false" outlineLevel="0" collapsed="false">
      <c r="A190" s="44"/>
      <c r="B190" s="45"/>
      <c r="C190" s="44"/>
      <c r="D190" s="44"/>
      <c r="E190" s="44"/>
      <c r="F190" s="44"/>
      <c r="G190" s="44"/>
      <c r="H190" s="44"/>
      <c r="I190" s="47"/>
      <c r="J190" s="47"/>
      <c r="K190" s="47"/>
      <c r="L190" s="47"/>
      <c r="M190" s="48"/>
      <c r="N190" s="49" t="str">
        <f aca="false">IF(C190="","",IFERROR(VLOOKUP(C190,Lists!$A$5:$C$8,2,FALSE()),""))</f>
        <v/>
      </c>
      <c r="O190" s="49" t="str">
        <f aca="false">IF(C190="","",IFERROR(VLOOKUP(C190,Lists!$A$5:$C$8,3,FALSE()),""))</f>
        <v/>
      </c>
      <c r="P190" s="50"/>
      <c r="Q190" s="50"/>
      <c r="R190" s="51" t="str">
        <f aca="false">IF(OR(I190="",L190="",M190="",N190="",O190=""),"",IF(F190="Long",(L190-I190)/N190*O190*M190,IF(F190="Short",(I190-L190)/N190*O190*M190,"")))</f>
        <v/>
      </c>
      <c r="S190" s="51" t="str">
        <f aca="false">IF(R190="","",R190-P190-Q190)</f>
        <v/>
      </c>
      <c r="T190" s="51" t="str">
        <f aca="false">IF(OR(I190="",J190="",M190="",N190="",O190=""),"",ABS(I190-J190)/N190*O190*M190+P190+Q190)</f>
        <v/>
      </c>
      <c r="U190" s="52" t="str">
        <f aca="false">IF(OR(S190="",T190="",T190=0),"",S190/T190)</f>
        <v/>
      </c>
      <c r="V190" s="50"/>
      <c r="W190" s="50"/>
      <c r="X190" s="44"/>
      <c r="Y190" s="44"/>
      <c r="Z190" s="44"/>
      <c r="AA190" s="44"/>
      <c r="AB190" s="52" t="str">
        <f aca="false">IF(OR(B190="",X190&lt;&gt;"Yes"),"",SUMIFS($U$6:U190,$X$6:X190,"Yes"))</f>
        <v/>
      </c>
      <c r="AC190" s="52" t="str">
        <f aca="false">IF(AB190="","",MAX($AB$6:AB190))</f>
        <v/>
      </c>
      <c r="AD190" s="52" t="str">
        <f aca="false">IF(AB190="","",AB190-AC190)</f>
        <v/>
      </c>
    </row>
    <row r="191" customFormat="false" ht="15" hidden="false" customHeight="false" outlineLevel="0" collapsed="false">
      <c r="A191" s="44"/>
      <c r="B191" s="45"/>
      <c r="C191" s="44"/>
      <c r="D191" s="44"/>
      <c r="E191" s="44"/>
      <c r="F191" s="44"/>
      <c r="G191" s="44"/>
      <c r="H191" s="44"/>
      <c r="I191" s="47"/>
      <c r="J191" s="47"/>
      <c r="K191" s="47"/>
      <c r="L191" s="47"/>
      <c r="M191" s="48"/>
      <c r="N191" s="49" t="str">
        <f aca="false">IF(C191="","",IFERROR(VLOOKUP(C191,Lists!$A$5:$C$8,2,FALSE()),""))</f>
        <v/>
      </c>
      <c r="O191" s="49" t="str">
        <f aca="false">IF(C191="","",IFERROR(VLOOKUP(C191,Lists!$A$5:$C$8,3,FALSE()),""))</f>
        <v/>
      </c>
      <c r="P191" s="50"/>
      <c r="Q191" s="50"/>
      <c r="R191" s="51" t="str">
        <f aca="false">IF(OR(I191="",L191="",M191="",N191="",O191=""),"",IF(F191="Long",(L191-I191)/N191*O191*M191,IF(F191="Short",(I191-L191)/N191*O191*M191,"")))</f>
        <v/>
      </c>
      <c r="S191" s="51" t="str">
        <f aca="false">IF(R191="","",R191-P191-Q191)</f>
        <v/>
      </c>
      <c r="T191" s="51" t="str">
        <f aca="false">IF(OR(I191="",J191="",M191="",N191="",O191=""),"",ABS(I191-J191)/N191*O191*M191+P191+Q191)</f>
        <v/>
      </c>
      <c r="U191" s="52" t="str">
        <f aca="false">IF(OR(S191="",T191="",T191=0),"",S191/T191)</f>
        <v/>
      </c>
      <c r="V191" s="50"/>
      <c r="W191" s="50"/>
      <c r="X191" s="44"/>
      <c r="Y191" s="44"/>
      <c r="Z191" s="44"/>
      <c r="AA191" s="44"/>
      <c r="AB191" s="52" t="str">
        <f aca="false">IF(OR(B191="",X191&lt;&gt;"Yes"),"",SUMIFS($U$6:U191,$X$6:X191,"Yes"))</f>
        <v/>
      </c>
      <c r="AC191" s="52" t="str">
        <f aca="false">IF(AB191="","",MAX($AB$6:AB191))</f>
        <v/>
      </c>
      <c r="AD191" s="52" t="str">
        <f aca="false">IF(AB191="","",AB191-AC191)</f>
        <v/>
      </c>
    </row>
    <row r="192" customFormat="false" ht="15" hidden="false" customHeight="false" outlineLevel="0" collapsed="false">
      <c r="A192" s="44"/>
      <c r="B192" s="45"/>
      <c r="C192" s="44"/>
      <c r="D192" s="44"/>
      <c r="E192" s="44"/>
      <c r="F192" s="44"/>
      <c r="G192" s="44"/>
      <c r="H192" s="44"/>
      <c r="I192" s="47"/>
      <c r="J192" s="47"/>
      <c r="K192" s="47"/>
      <c r="L192" s="47"/>
      <c r="M192" s="48"/>
      <c r="N192" s="49" t="str">
        <f aca="false">IF(C192="","",IFERROR(VLOOKUP(C192,Lists!$A$5:$C$8,2,FALSE()),""))</f>
        <v/>
      </c>
      <c r="O192" s="49" t="str">
        <f aca="false">IF(C192="","",IFERROR(VLOOKUP(C192,Lists!$A$5:$C$8,3,FALSE()),""))</f>
        <v/>
      </c>
      <c r="P192" s="50"/>
      <c r="Q192" s="50"/>
      <c r="R192" s="51" t="str">
        <f aca="false">IF(OR(I192="",L192="",M192="",N192="",O192=""),"",IF(F192="Long",(L192-I192)/N192*O192*M192,IF(F192="Short",(I192-L192)/N192*O192*M192,"")))</f>
        <v/>
      </c>
      <c r="S192" s="51" t="str">
        <f aca="false">IF(R192="","",R192-P192-Q192)</f>
        <v/>
      </c>
      <c r="T192" s="51" t="str">
        <f aca="false">IF(OR(I192="",J192="",M192="",N192="",O192=""),"",ABS(I192-J192)/N192*O192*M192+P192+Q192)</f>
        <v/>
      </c>
      <c r="U192" s="52" t="str">
        <f aca="false">IF(OR(S192="",T192="",T192=0),"",S192/T192)</f>
        <v/>
      </c>
      <c r="V192" s="50"/>
      <c r="W192" s="50"/>
      <c r="X192" s="44"/>
      <c r="Y192" s="44"/>
      <c r="Z192" s="44"/>
      <c r="AA192" s="44"/>
      <c r="AB192" s="52" t="str">
        <f aca="false">IF(OR(B192="",X192&lt;&gt;"Yes"),"",SUMIFS($U$6:U192,$X$6:X192,"Yes"))</f>
        <v/>
      </c>
      <c r="AC192" s="52" t="str">
        <f aca="false">IF(AB192="","",MAX($AB$6:AB192))</f>
        <v/>
      </c>
      <c r="AD192" s="52" t="str">
        <f aca="false">IF(AB192="","",AB192-AC192)</f>
        <v/>
      </c>
    </row>
    <row r="193" customFormat="false" ht="15" hidden="false" customHeight="false" outlineLevel="0" collapsed="false">
      <c r="A193" s="44"/>
      <c r="B193" s="45"/>
      <c r="C193" s="44"/>
      <c r="D193" s="44"/>
      <c r="E193" s="44"/>
      <c r="F193" s="44"/>
      <c r="G193" s="44"/>
      <c r="H193" s="44"/>
      <c r="I193" s="47"/>
      <c r="J193" s="47"/>
      <c r="K193" s="47"/>
      <c r="L193" s="47"/>
      <c r="M193" s="48"/>
      <c r="N193" s="49" t="str">
        <f aca="false">IF(C193="","",IFERROR(VLOOKUP(C193,Lists!$A$5:$C$8,2,FALSE()),""))</f>
        <v/>
      </c>
      <c r="O193" s="49" t="str">
        <f aca="false">IF(C193="","",IFERROR(VLOOKUP(C193,Lists!$A$5:$C$8,3,FALSE()),""))</f>
        <v/>
      </c>
      <c r="P193" s="50"/>
      <c r="Q193" s="50"/>
      <c r="R193" s="51" t="str">
        <f aca="false">IF(OR(I193="",L193="",M193="",N193="",O193=""),"",IF(F193="Long",(L193-I193)/N193*O193*M193,IF(F193="Short",(I193-L193)/N193*O193*M193,"")))</f>
        <v/>
      </c>
      <c r="S193" s="51" t="str">
        <f aca="false">IF(R193="","",R193-P193-Q193)</f>
        <v/>
      </c>
      <c r="T193" s="51" t="str">
        <f aca="false">IF(OR(I193="",J193="",M193="",N193="",O193=""),"",ABS(I193-J193)/N193*O193*M193+P193+Q193)</f>
        <v/>
      </c>
      <c r="U193" s="52" t="str">
        <f aca="false">IF(OR(S193="",T193="",T193=0),"",S193/T193)</f>
        <v/>
      </c>
      <c r="V193" s="50"/>
      <c r="W193" s="50"/>
      <c r="X193" s="44"/>
      <c r="Y193" s="44"/>
      <c r="Z193" s="44"/>
      <c r="AA193" s="44"/>
      <c r="AB193" s="52" t="str">
        <f aca="false">IF(OR(B193="",X193&lt;&gt;"Yes"),"",SUMIFS($U$6:U193,$X$6:X193,"Yes"))</f>
        <v/>
      </c>
      <c r="AC193" s="52" t="str">
        <f aca="false">IF(AB193="","",MAX($AB$6:AB193))</f>
        <v/>
      </c>
      <c r="AD193" s="52" t="str">
        <f aca="false">IF(AB193="","",AB193-AC193)</f>
        <v/>
      </c>
    </row>
    <row r="194" customFormat="false" ht="15" hidden="false" customHeight="false" outlineLevel="0" collapsed="false">
      <c r="A194" s="44"/>
      <c r="B194" s="45"/>
      <c r="C194" s="44"/>
      <c r="D194" s="44"/>
      <c r="E194" s="44"/>
      <c r="F194" s="44"/>
      <c r="G194" s="44"/>
      <c r="H194" s="44"/>
      <c r="I194" s="47"/>
      <c r="J194" s="47"/>
      <c r="K194" s="47"/>
      <c r="L194" s="47"/>
      <c r="M194" s="48"/>
      <c r="N194" s="49" t="str">
        <f aca="false">IF(C194="","",IFERROR(VLOOKUP(C194,Lists!$A$5:$C$8,2,FALSE()),""))</f>
        <v/>
      </c>
      <c r="O194" s="49" t="str">
        <f aca="false">IF(C194="","",IFERROR(VLOOKUP(C194,Lists!$A$5:$C$8,3,FALSE()),""))</f>
        <v/>
      </c>
      <c r="P194" s="50"/>
      <c r="Q194" s="50"/>
      <c r="R194" s="51" t="str">
        <f aca="false">IF(OR(I194="",L194="",M194="",N194="",O194=""),"",IF(F194="Long",(L194-I194)/N194*O194*M194,IF(F194="Short",(I194-L194)/N194*O194*M194,"")))</f>
        <v/>
      </c>
      <c r="S194" s="51" t="str">
        <f aca="false">IF(R194="","",R194-P194-Q194)</f>
        <v/>
      </c>
      <c r="T194" s="51" t="str">
        <f aca="false">IF(OR(I194="",J194="",M194="",N194="",O194=""),"",ABS(I194-J194)/N194*O194*M194+P194+Q194)</f>
        <v/>
      </c>
      <c r="U194" s="52" t="str">
        <f aca="false">IF(OR(S194="",T194="",T194=0),"",S194/T194)</f>
        <v/>
      </c>
      <c r="V194" s="50"/>
      <c r="W194" s="50"/>
      <c r="X194" s="44"/>
      <c r="Y194" s="44"/>
      <c r="Z194" s="44"/>
      <c r="AA194" s="44"/>
      <c r="AB194" s="52" t="str">
        <f aca="false">IF(OR(B194="",X194&lt;&gt;"Yes"),"",SUMIFS($U$6:U194,$X$6:X194,"Yes"))</f>
        <v/>
      </c>
      <c r="AC194" s="52" t="str">
        <f aca="false">IF(AB194="","",MAX($AB$6:AB194))</f>
        <v/>
      </c>
      <c r="AD194" s="52" t="str">
        <f aca="false">IF(AB194="","",AB194-AC194)</f>
        <v/>
      </c>
    </row>
    <row r="195" customFormat="false" ht="15" hidden="false" customHeight="false" outlineLevel="0" collapsed="false">
      <c r="A195" s="44"/>
      <c r="B195" s="45"/>
      <c r="C195" s="44"/>
      <c r="D195" s="44"/>
      <c r="E195" s="44"/>
      <c r="F195" s="44"/>
      <c r="G195" s="44"/>
      <c r="H195" s="44"/>
      <c r="I195" s="47"/>
      <c r="J195" s="47"/>
      <c r="K195" s="47"/>
      <c r="L195" s="47"/>
      <c r="M195" s="48"/>
      <c r="N195" s="49" t="str">
        <f aca="false">IF(C195="","",IFERROR(VLOOKUP(C195,Lists!$A$5:$C$8,2,FALSE()),""))</f>
        <v/>
      </c>
      <c r="O195" s="49" t="str">
        <f aca="false">IF(C195="","",IFERROR(VLOOKUP(C195,Lists!$A$5:$C$8,3,FALSE()),""))</f>
        <v/>
      </c>
      <c r="P195" s="50"/>
      <c r="Q195" s="50"/>
      <c r="R195" s="51" t="str">
        <f aca="false">IF(OR(I195="",L195="",M195="",N195="",O195=""),"",IF(F195="Long",(L195-I195)/N195*O195*M195,IF(F195="Short",(I195-L195)/N195*O195*M195,"")))</f>
        <v/>
      </c>
      <c r="S195" s="51" t="str">
        <f aca="false">IF(R195="","",R195-P195-Q195)</f>
        <v/>
      </c>
      <c r="T195" s="51" t="str">
        <f aca="false">IF(OR(I195="",J195="",M195="",N195="",O195=""),"",ABS(I195-J195)/N195*O195*M195+P195+Q195)</f>
        <v/>
      </c>
      <c r="U195" s="52" t="str">
        <f aca="false">IF(OR(S195="",T195="",T195=0),"",S195/T195)</f>
        <v/>
      </c>
      <c r="V195" s="50"/>
      <c r="W195" s="50"/>
      <c r="X195" s="44"/>
      <c r="Y195" s="44"/>
      <c r="Z195" s="44"/>
      <c r="AA195" s="44"/>
      <c r="AB195" s="52" t="str">
        <f aca="false">IF(OR(B195="",X195&lt;&gt;"Yes"),"",SUMIFS($U$6:U195,$X$6:X195,"Yes"))</f>
        <v/>
      </c>
      <c r="AC195" s="52" t="str">
        <f aca="false">IF(AB195="","",MAX($AB$6:AB195))</f>
        <v/>
      </c>
      <c r="AD195" s="52" t="str">
        <f aca="false">IF(AB195="","",AB195-AC195)</f>
        <v/>
      </c>
    </row>
    <row r="196" customFormat="false" ht="15" hidden="false" customHeight="false" outlineLevel="0" collapsed="false">
      <c r="A196" s="44"/>
      <c r="B196" s="45"/>
      <c r="C196" s="44"/>
      <c r="D196" s="44"/>
      <c r="E196" s="44"/>
      <c r="F196" s="44"/>
      <c r="G196" s="44"/>
      <c r="H196" s="44"/>
      <c r="I196" s="47"/>
      <c r="J196" s="47"/>
      <c r="K196" s="47"/>
      <c r="L196" s="47"/>
      <c r="M196" s="48"/>
      <c r="N196" s="49" t="str">
        <f aca="false">IF(C196="","",IFERROR(VLOOKUP(C196,Lists!$A$5:$C$8,2,FALSE()),""))</f>
        <v/>
      </c>
      <c r="O196" s="49" t="str">
        <f aca="false">IF(C196="","",IFERROR(VLOOKUP(C196,Lists!$A$5:$C$8,3,FALSE()),""))</f>
        <v/>
      </c>
      <c r="P196" s="50"/>
      <c r="Q196" s="50"/>
      <c r="R196" s="51" t="str">
        <f aca="false">IF(OR(I196="",L196="",M196="",N196="",O196=""),"",IF(F196="Long",(L196-I196)/N196*O196*M196,IF(F196="Short",(I196-L196)/N196*O196*M196,"")))</f>
        <v/>
      </c>
      <c r="S196" s="51" t="str">
        <f aca="false">IF(R196="","",R196-P196-Q196)</f>
        <v/>
      </c>
      <c r="T196" s="51" t="str">
        <f aca="false">IF(OR(I196="",J196="",M196="",N196="",O196=""),"",ABS(I196-J196)/N196*O196*M196+P196+Q196)</f>
        <v/>
      </c>
      <c r="U196" s="52" t="str">
        <f aca="false">IF(OR(S196="",T196="",T196=0),"",S196/T196)</f>
        <v/>
      </c>
      <c r="V196" s="50"/>
      <c r="W196" s="50"/>
      <c r="X196" s="44"/>
      <c r="Y196" s="44"/>
      <c r="Z196" s="44"/>
      <c r="AA196" s="44"/>
      <c r="AB196" s="52" t="str">
        <f aca="false">IF(OR(B196="",X196&lt;&gt;"Yes"),"",SUMIFS($U$6:U196,$X$6:X196,"Yes"))</f>
        <v/>
      </c>
      <c r="AC196" s="52" t="str">
        <f aca="false">IF(AB196="","",MAX($AB$6:AB196))</f>
        <v/>
      </c>
      <c r="AD196" s="52" t="str">
        <f aca="false">IF(AB196="","",AB196-AC196)</f>
        <v/>
      </c>
    </row>
    <row r="197" customFormat="false" ht="15" hidden="false" customHeight="false" outlineLevel="0" collapsed="false">
      <c r="A197" s="44"/>
      <c r="B197" s="45"/>
      <c r="C197" s="44"/>
      <c r="D197" s="44"/>
      <c r="E197" s="44"/>
      <c r="F197" s="44"/>
      <c r="G197" s="44"/>
      <c r="H197" s="44"/>
      <c r="I197" s="47"/>
      <c r="J197" s="47"/>
      <c r="K197" s="47"/>
      <c r="L197" s="47"/>
      <c r="M197" s="48"/>
      <c r="N197" s="49" t="str">
        <f aca="false">IF(C197="","",IFERROR(VLOOKUP(C197,Lists!$A$5:$C$8,2,FALSE()),""))</f>
        <v/>
      </c>
      <c r="O197" s="49" t="str">
        <f aca="false">IF(C197="","",IFERROR(VLOOKUP(C197,Lists!$A$5:$C$8,3,FALSE()),""))</f>
        <v/>
      </c>
      <c r="P197" s="50"/>
      <c r="Q197" s="50"/>
      <c r="R197" s="51" t="str">
        <f aca="false">IF(OR(I197="",L197="",M197="",N197="",O197=""),"",IF(F197="Long",(L197-I197)/N197*O197*M197,IF(F197="Short",(I197-L197)/N197*O197*M197,"")))</f>
        <v/>
      </c>
      <c r="S197" s="51" t="str">
        <f aca="false">IF(R197="","",R197-P197-Q197)</f>
        <v/>
      </c>
      <c r="T197" s="51" t="str">
        <f aca="false">IF(OR(I197="",J197="",M197="",N197="",O197=""),"",ABS(I197-J197)/N197*O197*M197+P197+Q197)</f>
        <v/>
      </c>
      <c r="U197" s="52" t="str">
        <f aca="false">IF(OR(S197="",T197="",T197=0),"",S197/T197)</f>
        <v/>
      </c>
      <c r="V197" s="50"/>
      <c r="W197" s="50"/>
      <c r="X197" s="44"/>
      <c r="Y197" s="44"/>
      <c r="Z197" s="44"/>
      <c r="AA197" s="44"/>
      <c r="AB197" s="52" t="str">
        <f aca="false">IF(OR(B197="",X197&lt;&gt;"Yes"),"",SUMIFS($U$6:U197,$X$6:X197,"Yes"))</f>
        <v/>
      </c>
      <c r="AC197" s="52" t="str">
        <f aca="false">IF(AB197="","",MAX($AB$6:AB197))</f>
        <v/>
      </c>
      <c r="AD197" s="52" t="str">
        <f aca="false">IF(AB197="","",AB197-AC197)</f>
        <v/>
      </c>
    </row>
    <row r="198" customFormat="false" ht="15" hidden="false" customHeight="false" outlineLevel="0" collapsed="false">
      <c r="A198" s="44"/>
      <c r="B198" s="45"/>
      <c r="C198" s="44"/>
      <c r="D198" s="44"/>
      <c r="E198" s="44"/>
      <c r="F198" s="44"/>
      <c r="G198" s="44"/>
      <c r="H198" s="44"/>
      <c r="I198" s="47"/>
      <c r="J198" s="47"/>
      <c r="K198" s="47"/>
      <c r="L198" s="47"/>
      <c r="M198" s="48"/>
      <c r="N198" s="49" t="str">
        <f aca="false">IF(C198="","",IFERROR(VLOOKUP(C198,Lists!$A$5:$C$8,2,FALSE()),""))</f>
        <v/>
      </c>
      <c r="O198" s="49" t="str">
        <f aca="false">IF(C198="","",IFERROR(VLOOKUP(C198,Lists!$A$5:$C$8,3,FALSE()),""))</f>
        <v/>
      </c>
      <c r="P198" s="50"/>
      <c r="Q198" s="50"/>
      <c r="R198" s="51" t="str">
        <f aca="false">IF(OR(I198="",L198="",M198="",N198="",O198=""),"",IF(F198="Long",(L198-I198)/N198*O198*M198,IF(F198="Short",(I198-L198)/N198*O198*M198,"")))</f>
        <v/>
      </c>
      <c r="S198" s="51" t="str">
        <f aca="false">IF(R198="","",R198-P198-Q198)</f>
        <v/>
      </c>
      <c r="T198" s="51" t="str">
        <f aca="false">IF(OR(I198="",J198="",M198="",N198="",O198=""),"",ABS(I198-J198)/N198*O198*M198+P198+Q198)</f>
        <v/>
      </c>
      <c r="U198" s="52" t="str">
        <f aca="false">IF(OR(S198="",T198="",T198=0),"",S198/T198)</f>
        <v/>
      </c>
      <c r="V198" s="50"/>
      <c r="W198" s="50"/>
      <c r="X198" s="44"/>
      <c r="Y198" s="44"/>
      <c r="Z198" s="44"/>
      <c r="AA198" s="44"/>
      <c r="AB198" s="52" t="str">
        <f aca="false">IF(OR(B198="",X198&lt;&gt;"Yes"),"",SUMIFS($U$6:U198,$X$6:X198,"Yes"))</f>
        <v/>
      </c>
      <c r="AC198" s="52" t="str">
        <f aca="false">IF(AB198="","",MAX($AB$6:AB198))</f>
        <v/>
      </c>
      <c r="AD198" s="52" t="str">
        <f aca="false">IF(AB198="","",AB198-AC198)</f>
        <v/>
      </c>
    </row>
    <row r="199" customFormat="false" ht="15" hidden="false" customHeight="false" outlineLevel="0" collapsed="false">
      <c r="A199" s="44"/>
      <c r="B199" s="45"/>
      <c r="C199" s="44"/>
      <c r="D199" s="44"/>
      <c r="E199" s="44"/>
      <c r="F199" s="44"/>
      <c r="G199" s="44"/>
      <c r="H199" s="44"/>
      <c r="I199" s="47"/>
      <c r="J199" s="47"/>
      <c r="K199" s="47"/>
      <c r="L199" s="47"/>
      <c r="M199" s="48"/>
      <c r="N199" s="49" t="str">
        <f aca="false">IF(C199="","",IFERROR(VLOOKUP(C199,Lists!$A$5:$C$8,2,FALSE()),""))</f>
        <v/>
      </c>
      <c r="O199" s="49" t="str">
        <f aca="false">IF(C199="","",IFERROR(VLOOKUP(C199,Lists!$A$5:$C$8,3,FALSE()),""))</f>
        <v/>
      </c>
      <c r="P199" s="50"/>
      <c r="Q199" s="50"/>
      <c r="R199" s="51" t="str">
        <f aca="false">IF(OR(I199="",L199="",M199="",N199="",O199=""),"",IF(F199="Long",(L199-I199)/N199*O199*M199,IF(F199="Short",(I199-L199)/N199*O199*M199,"")))</f>
        <v/>
      </c>
      <c r="S199" s="51" t="str">
        <f aca="false">IF(R199="","",R199-P199-Q199)</f>
        <v/>
      </c>
      <c r="T199" s="51" t="str">
        <f aca="false">IF(OR(I199="",J199="",M199="",N199="",O199=""),"",ABS(I199-J199)/N199*O199*M199+P199+Q199)</f>
        <v/>
      </c>
      <c r="U199" s="52" t="str">
        <f aca="false">IF(OR(S199="",T199="",T199=0),"",S199/T199)</f>
        <v/>
      </c>
      <c r="V199" s="50"/>
      <c r="W199" s="50"/>
      <c r="X199" s="44"/>
      <c r="Y199" s="44"/>
      <c r="Z199" s="44"/>
      <c r="AA199" s="44"/>
      <c r="AB199" s="52" t="str">
        <f aca="false">IF(OR(B199="",X199&lt;&gt;"Yes"),"",SUMIFS($U$6:U199,$X$6:X199,"Yes"))</f>
        <v/>
      </c>
      <c r="AC199" s="52" t="str">
        <f aca="false">IF(AB199="","",MAX($AB$6:AB199))</f>
        <v/>
      </c>
      <c r="AD199" s="52" t="str">
        <f aca="false">IF(AB199="","",AB199-AC199)</f>
        <v/>
      </c>
    </row>
    <row r="200" customFormat="false" ht="15" hidden="false" customHeight="false" outlineLevel="0" collapsed="false">
      <c r="A200" s="44"/>
      <c r="B200" s="45"/>
      <c r="C200" s="44"/>
      <c r="D200" s="44"/>
      <c r="E200" s="44"/>
      <c r="F200" s="44"/>
      <c r="G200" s="44"/>
      <c r="H200" s="44"/>
      <c r="I200" s="47"/>
      <c r="J200" s="47"/>
      <c r="K200" s="47"/>
      <c r="L200" s="47"/>
      <c r="M200" s="48"/>
      <c r="N200" s="49" t="str">
        <f aca="false">IF(C200="","",IFERROR(VLOOKUP(C200,Lists!$A$5:$C$8,2,FALSE()),""))</f>
        <v/>
      </c>
      <c r="O200" s="49" t="str">
        <f aca="false">IF(C200="","",IFERROR(VLOOKUP(C200,Lists!$A$5:$C$8,3,FALSE()),""))</f>
        <v/>
      </c>
      <c r="P200" s="50"/>
      <c r="Q200" s="50"/>
      <c r="R200" s="51" t="str">
        <f aca="false">IF(OR(I200="",L200="",M200="",N200="",O200=""),"",IF(F200="Long",(L200-I200)/N200*O200*M200,IF(F200="Short",(I200-L200)/N200*O200*M200,"")))</f>
        <v/>
      </c>
      <c r="S200" s="51" t="str">
        <f aca="false">IF(R200="","",R200-P200-Q200)</f>
        <v/>
      </c>
      <c r="T200" s="51" t="str">
        <f aca="false">IF(OR(I200="",J200="",M200="",N200="",O200=""),"",ABS(I200-J200)/N200*O200*M200+P200+Q200)</f>
        <v/>
      </c>
      <c r="U200" s="52" t="str">
        <f aca="false">IF(OR(S200="",T200="",T200=0),"",S200/T200)</f>
        <v/>
      </c>
      <c r="V200" s="50"/>
      <c r="W200" s="50"/>
      <c r="X200" s="44"/>
      <c r="Y200" s="44"/>
      <c r="Z200" s="44"/>
      <c r="AA200" s="44"/>
      <c r="AB200" s="52" t="str">
        <f aca="false">IF(OR(B200="",X200&lt;&gt;"Yes"),"",SUMIFS($U$6:U200,$X$6:X200,"Yes"))</f>
        <v/>
      </c>
      <c r="AC200" s="52" t="str">
        <f aca="false">IF(AB200="","",MAX($AB$6:AB200))</f>
        <v/>
      </c>
      <c r="AD200" s="52" t="str">
        <f aca="false">IF(AB200="","",AB200-AC200)</f>
        <v/>
      </c>
    </row>
    <row r="201" customFormat="false" ht="15" hidden="false" customHeight="false" outlineLevel="0" collapsed="false">
      <c r="A201" s="44"/>
      <c r="B201" s="45"/>
      <c r="C201" s="44"/>
      <c r="D201" s="44"/>
      <c r="E201" s="44"/>
      <c r="F201" s="44"/>
      <c r="G201" s="44"/>
      <c r="H201" s="44"/>
      <c r="I201" s="47"/>
      <c r="J201" s="47"/>
      <c r="K201" s="47"/>
      <c r="L201" s="47"/>
      <c r="M201" s="48"/>
      <c r="N201" s="49" t="str">
        <f aca="false">IF(C201="","",IFERROR(VLOOKUP(C201,Lists!$A$5:$C$8,2,FALSE()),""))</f>
        <v/>
      </c>
      <c r="O201" s="49" t="str">
        <f aca="false">IF(C201="","",IFERROR(VLOOKUP(C201,Lists!$A$5:$C$8,3,FALSE()),""))</f>
        <v/>
      </c>
      <c r="P201" s="50"/>
      <c r="Q201" s="50"/>
      <c r="R201" s="51" t="str">
        <f aca="false">IF(OR(I201="",L201="",M201="",N201="",O201=""),"",IF(F201="Long",(L201-I201)/N201*O201*M201,IF(F201="Short",(I201-L201)/N201*O201*M201,"")))</f>
        <v/>
      </c>
      <c r="S201" s="51" t="str">
        <f aca="false">IF(R201="","",R201-P201-Q201)</f>
        <v/>
      </c>
      <c r="T201" s="51" t="str">
        <f aca="false">IF(OR(I201="",J201="",M201="",N201="",O201=""),"",ABS(I201-J201)/N201*O201*M201+P201+Q201)</f>
        <v/>
      </c>
      <c r="U201" s="52" t="str">
        <f aca="false">IF(OR(S201="",T201="",T201=0),"",S201/T201)</f>
        <v/>
      </c>
      <c r="V201" s="50"/>
      <c r="W201" s="50"/>
      <c r="X201" s="44"/>
      <c r="Y201" s="44"/>
      <c r="Z201" s="44"/>
      <c r="AA201" s="44"/>
      <c r="AB201" s="52" t="str">
        <f aca="false">IF(OR(B201="",X201&lt;&gt;"Yes"),"",SUMIFS($U$6:U201,$X$6:X201,"Yes"))</f>
        <v/>
      </c>
      <c r="AC201" s="52" t="str">
        <f aca="false">IF(AB201="","",MAX($AB$6:AB201))</f>
        <v/>
      </c>
      <c r="AD201" s="52" t="str">
        <f aca="false">IF(AB201="","",AB201-AC201)</f>
        <v/>
      </c>
    </row>
    <row r="202" customFormat="false" ht="15" hidden="false" customHeight="false" outlineLevel="0" collapsed="false">
      <c r="A202" s="44"/>
      <c r="B202" s="45"/>
      <c r="C202" s="44"/>
      <c r="D202" s="44"/>
      <c r="E202" s="44"/>
      <c r="F202" s="44"/>
      <c r="G202" s="44"/>
      <c r="H202" s="44"/>
      <c r="I202" s="47"/>
      <c r="J202" s="47"/>
      <c r="K202" s="47"/>
      <c r="L202" s="47"/>
      <c r="M202" s="48"/>
      <c r="N202" s="49" t="str">
        <f aca="false">IF(C202="","",IFERROR(VLOOKUP(C202,Lists!$A$5:$C$8,2,FALSE()),""))</f>
        <v/>
      </c>
      <c r="O202" s="49" t="str">
        <f aca="false">IF(C202="","",IFERROR(VLOOKUP(C202,Lists!$A$5:$C$8,3,FALSE()),""))</f>
        <v/>
      </c>
      <c r="P202" s="50"/>
      <c r="Q202" s="50"/>
      <c r="R202" s="51" t="str">
        <f aca="false">IF(OR(I202="",L202="",M202="",N202="",O202=""),"",IF(F202="Long",(L202-I202)/N202*O202*M202,IF(F202="Short",(I202-L202)/N202*O202*M202,"")))</f>
        <v/>
      </c>
      <c r="S202" s="51" t="str">
        <f aca="false">IF(R202="","",R202-P202-Q202)</f>
        <v/>
      </c>
      <c r="T202" s="51" t="str">
        <f aca="false">IF(OR(I202="",J202="",M202="",N202="",O202=""),"",ABS(I202-J202)/N202*O202*M202+P202+Q202)</f>
        <v/>
      </c>
      <c r="U202" s="52" t="str">
        <f aca="false">IF(OR(S202="",T202="",T202=0),"",S202/T202)</f>
        <v/>
      </c>
      <c r="V202" s="50"/>
      <c r="W202" s="50"/>
      <c r="X202" s="44"/>
      <c r="Y202" s="44"/>
      <c r="Z202" s="44"/>
      <c r="AA202" s="44"/>
      <c r="AB202" s="52" t="str">
        <f aca="false">IF(OR(B202="",X202&lt;&gt;"Yes"),"",SUMIFS($U$6:U202,$X$6:X202,"Yes"))</f>
        <v/>
      </c>
      <c r="AC202" s="52" t="str">
        <f aca="false">IF(AB202="","",MAX($AB$6:AB202))</f>
        <v/>
      </c>
      <c r="AD202" s="52" t="str">
        <f aca="false">IF(AB202="","",AB202-AC202)</f>
        <v/>
      </c>
    </row>
    <row r="203" customFormat="false" ht="15" hidden="false" customHeight="false" outlineLevel="0" collapsed="false">
      <c r="A203" s="44"/>
      <c r="B203" s="45"/>
      <c r="C203" s="44"/>
      <c r="D203" s="44"/>
      <c r="E203" s="44"/>
      <c r="F203" s="44"/>
      <c r="G203" s="44"/>
      <c r="H203" s="44"/>
      <c r="I203" s="47"/>
      <c r="J203" s="47"/>
      <c r="K203" s="47"/>
      <c r="L203" s="47"/>
      <c r="M203" s="48"/>
      <c r="N203" s="49" t="str">
        <f aca="false">IF(C203="","",IFERROR(VLOOKUP(C203,Lists!$A$5:$C$8,2,FALSE()),""))</f>
        <v/>
      </c>
      <c r="O203" s="49" t="str">
        <f aca="false">IF(C203="","",IFERROR(VLOOKUP(C203,Lists!$A$5:$C$8,3,FALSE()),""))</f>
        <v/>
      </c>
      <c r="P203" s="50"/>
      <c r="Q203" s="50"/>
      <c r="R203" s="51" t="str">
        <f aca="false">IF(OR(I203="",L203="",M203="",N203="",O203=""),"",IF(F203="Long",(L203-I203)/N203*O203*M203,IF(F203="Short",(I203-L203)/N203*O203*M203,"")))</f>
        <v/>
      </c>
      <c r="S203" s="51" t="str">
        <f aca="false">IF(R203="","",R203-P203-Q203)</f>
        <v/>
      </c>
      <c r="T203" s="51" t="str">
        <f aca="false">IF(OR(I203="",J203="",M203="",N203="",O203=""),"",ABS(I203-J203)/N203*O203*M203+P203+Q203)</f>
        <v/>
      </c>
      <c r="U203" s="52" t="str">
        <f aca="false">IF(OR(S203="",T203="",T203=0),"",S203/T203)</f>
        <v/>
      </c>
      <c r="V203" s="50"/>
      <c r="W203" s="50"/>
      <c r="X203" s="44"/>
      <c r="Y203" s="44"/>
      <c r="Z203" s="44"/>
      <c r="AA203" s="44"/>
      <c r="AB203" s="52" t="str">
        <f aca="false">IF(OR(B203="",X203&lt;&gt;"Yes"),"",SUMIFS($U$6:U203,$X$6:X203,"Yes"))</f>
        <v/>
      </c>
      <c r="AC203" s="52" t="str">
        <f aca="false">IF(AB203="","",MAX($AB$6:AB203))</f>
        <v/>
      </c>
      <c r="AD203" s="52" t="str">
        <f aca="false">IF(AB203="","",AB203-AC203)</f>
        <v/>
      </c>
    </row>
    <row r="204" customFormat="false" ht="15" hidden="false" customHeight="false" outlineLevel="0" collapsed="false">
      <c r="A204" s="44"/>
      <c r="B204" s="45"/>
      <c r="C204" s="44"/>
      <c r="D204" s="44"/>
      <c r="E204" s="44"/>
      <c r="F204" s="44"/>
      <c r="G204" s="44"/>
      <c r="H204" s="44"/>
      <c r="I204" s="47"/>
      <c r="J204" s="47"/>
      <c r="K204" s="47"/>
      <c r="L204" s="47"/>
      <c r="M204" s="48"/>
      <c r="N204" s="49" t="str">
        <f aca="false">IF(C204="","",IFERROR(VLOOKUP(C204,Lists!$A$5:$C$8,2,FALSE()),""))</f>
        <v/>
      </c>
      <c r="O204" s="49" t="str">
        <f aca="false">IF(C204="","",IFERROR(VLOOKUP(C204,Lists!$A$5:$C$8,3,FALSE()),""))</f>
        <v/>
      </c>
      <c r="P204" s="50"/>
      <c r="Q204" s="50"/>
      <c r="R204" s="51" t="str">
        <f aca="false">IF(OR(I204="",L204="",M204="",N204="",O204=""),"",IF(F204="Long",(L204-I204)/N204*O204*M204,IF(F204="Short",(I204-L204)/N204*O204*M204,"")))</f>
        <v/>
      </c>
      <c r="S204" s="51" t="str">
        <f aca="false">IF(R204="","",R204-P204-Q204)</f>
        <v/>
      </c>
      <c r="T204" s="51" t="str">
        <f aca="false">IF(OR(I204="",J204="",M204="",N204="",O204=""),"",ABS(I204-J204)/N204*O204*M204+P204+Q204)</f>
        <v/>
      </c>
      <c r="U204" s="52" t="str">
        <f aca="false">IF(OR(S204="",T204="",T204=0),"",S204/T204)</f>
        <v/>
      </c>
      <c r="V204" s="50"/>
      <c r="W204" s="50"/>
      <c r="X204" s="44"/>
      <c r="Y204" s="44"/>
      <c r="Z204" s="44"/>
      <c r="AA204" s="44"/>
      <c r="AB204" s="52" t="str">
        <f aca="false">IF(OR(B204="",X204&lt;&gt;"Yes"),"",SUMIFS($U$6:U204,$X$6:X204,"Yes"))</f>
        <v/>
      </c>
      <c r="AC204" s="52" t="str">
        <f aca="false">IF(AB204="","",MAX($AB$6:AB204))</f>
        <v/>
      </c>
      <c r="AD204" s="52" t="str">
        <f aca="false">IF(AB204="","",AB204-AC204)</f>
        <v/>
      </c>
    </row>
    <row r="205" customFormat="false" ht="15" hidden="false" customHeight="false" outlineLevel="0" collapsed="false">
      <c r="A205" s="53"/>
      <c r="B205" s="54"/>
      <c r="C205" s="53"/>
      <c r="D205" s="53"/>
      <c r="E205" s="53"/>
      <c r="F205" s="53"/>
      <c r="G205" s="53"/>
      <c r="H205" s="53"/>
      <c r="I205" s="56"/>
      <c r="J205" s="56"/>
      <c r="K205" s="56"/>
      <c r="L205" s="56"/>
      <c r="M205" s="57"/>
      <c r="N205" s="49" t="str">
        <f aca="false">IF(C205="","",IFERROR(VLOOKUP(C205,Lists!$A$5:$C$8,2,FALSE()),""))</f>
        <v/>
      </c>
      <c r="O205" s="49" t="str">
        <f aca="false">IF(C205="","",IFERROR(VLOOKUP(C205,Lists!$A$5:$C$8,3,FALSE()),""))</f>
        <v/>
      </c>
      <c r="P205" s="58"/>
      <c r="Q205" s="58"/>
      <c r="R205" s="51" t="str">
        <f aca="false">IF(OR(I205="",L205="",M205="",N205="",O205=""),"",IF(F205="Long",(L205-I205)/N205*O205*M205,IF(F205="Short",(I205-L205)/N205*O205*M205,"")))</f>
        <v/>
      </c>
      <c r="S205" s="51" t="str">
        <f aca="false">IF(R205="","",R205-P205-Q205)</f>
        <v/>
      </c>
      <c r="T205" s="51" t="str">
        <f aca="false">IF(OR(I205="",J205="",M205="",N205="",O205=""),"",ABS(I205-J205)/N205*O205*M205+P205+Q205)</f>
        <v/>
      </c>
      <c r="U205" s="52" t="str">
        <f aca="false">IF(OR(S205="",T205="",T205=0),"",S205/T205)</f>
        <v/>
      </c>
      <c r="V205" s="58"/>
      <c r="W205" s="58"/>
      <c r="X205" s="53"/>
      <c r="Y205" s="53"/>
      <c r="Z205" s="53"/>
      <c r="AA205" s="53"/>
      <c r="AB205" s="52" t="str">
        <f aca="false">IF(OR(B205="",X205&lt;&gt;"Yes"),"",SUMIFS($U$6:U205,$X$6:X205,"Yes"))</f>
        <v/>
      </c>
      <c r="AC205" s="52" t="str">
        <f aca="false">IF(AB205="","",MAX($AB$6:AB205))</f>
        <v/>
      </c>
      <c r="AD205" s="52" t="str">
        <f aca="false">IF(AB205="","",AB205-AC205)</f>
        <v/>
      </c>
    </row>
  </sheetData>
  <mergeCells count="3">
    <mergeCell ref="A1:AD1"/>
    <mergeCell ref="A2:AD2"/>
    <mergeCell ref="A4:AD4"/>
  </mergeCells>
  <conditionalFormatting sqref="X6:X205">
    <cfRule type="containsText" priority="2" operator="containsText" aboveAverage="0" equalAverage="0" bottom="0" percent="0" rank="0" text="No" dxfId="8">
      <formula>NOT(ISERROR(SEARCH("No",X6)))</formula>
    </cfRule>
  </conditionalFormatting>
  <conditionalFormatting sqref="U6:U205">
    <cfRule type="colorScale" priority="3">
      <colorScale>
        <cfvo type="min" val="0"/>
        <cfvo type="percentile" val="50"/>
        <cfvo type="max" val="0"/>
        <color rgb="FFFDE2E1"/>
        <color rgb="FFFFF4CC"/>
        <color rgb="FFD8F3DC"/>
      </colorScale>
    </cfRule>
  </conditionalFormatting>
  <dataValidations count="5">
    <dataValidation allowBlank="false" errorStyle="stop" operator="between" showDropDown="false" showErrorMessage="false" showInputMessage="false" sqref="C6:C205" type="list">
      <formula1>"MES,MNQ,MGC,MCL"</formula1>
      <formula2>0</formula2>
    </dataValidation>
    <dataValidation allowBlank="false" errorStyle="stop" operator="between" showDropDown="false" showErrorMessage="false" showInputMessage="false" sqref="E6:E205" type="list">
      <formula1>"In-sample,Out-of-sample"</formula1>
      <formula2>0</formula2>
    </dataValidation>
    <dataValidation allowBlank="false" errorStyle="stop" operator="between" showDropDown="false" showErrorMessage="false" showInputMessage="false" sqref="F6:F205" type="list">
      <formula1>"Long,Short"</formula1>
      <formula2>0</formula2>
    </dataValidation>
    <dataValidation allowBlank="false" errorStyle="stop" operator="between" showDropDown="false" showErrorMessage="false" showInputMessage="false" sqref="G6:G205" type="list">
      <formula1>"Balance,Transition,Imbalance,Trend,Unknown"</formula1>
      <formula2>0</formula2>
    </dataValidation>
    <dataValidation allowBlank="false" errorStyle="stop" operator="between" showDropDown="false" showErrorMessage="false" showInputMessage="false" sqref="X6:X205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3"/>
    <col collapsed="false" customWidth="true" hidden="false" outlineLevel="0" max="8" min="8" style="1" width="23"/>
    <col collapsed="false" customWidth="true" hidden="false" outlineLevel="0" max="9" min="9" style="1" width="12"/>
    <col collapsed="false" customWidth="true" hidden="false" outlineLevel="0" max="10" min="10" style="1" width="42"/>
    <col collapsed="false" customWidth="true" hidden="false" outlineLevel="0" max="11" min="11" style="1" width="12"/>
    <col collapsed="false" customWidth="true" hidden="false" outlineLevel="0" max="12" min="12" style="1" width="40"/>
    <col collapsed="false" customWidth="true" hidden="false" outlineLevel="0" max="13" min="13" style="1" width="23"/>
    <col collapsed="false" customWidth="true" hidden="false" outlineLevel="0" max="14" min="14" style="1" width="18"/>
    <col collapsed="false" customWidth="true" hidden="false" outlineLevel="0" max="15" min="15" style="1" width="42"/>
  </cols>
  <sheetData>
    <row r="1" customFormat="false" ht="32" hidden="false" customHeight="true" outlineLevel="0" collapsed="false">
      <c r="A1" s="2" t="s">
        <v>121</v>
      </c>
      <c r="B1" s="2" t="s">
        <v>121</v>
      </c>
      <c r="C1" s="2" t="s">
        <v>121</v>
      </c>
      <c r="D1" s="2" t="s">
        <v>121</v>
      </c>
      <c r="E1" s="2" t="s">
        <v>121</v>
      </c>
      <c r="F1" s="2" t="s">
        <v>121</v>
      </c>
      <c r="G1" s="2" t="s">
        <v>121</v>
      </c>
      <c r="H1" s="2" t="s">
        <v>121</v>
      </c>
      <c r="I1" s="2" t="s">
        <v>121</v>
      </c>
      <c r="J1" s="2" t="s">
        <v>121</v>
      </c>
      <c r="K1" s="2" t="s">
        <v>121</v>
      </c>
      <c r="L1" s="2" t="s">
        <v>121</v>
      </c>
      <c r="M1" s="2" t="s">
        <v>121</v>
      </c>
      <c r="N1" s="2" t="s">
        <v>121</v>
      </c>
      <c r="O1" s="2" t="s">
        <v>121</v>
      </c>
    </row>
    <row r="2" customFormat="false" ht="28" hidden="false" customHeight="true" outlineLevel="0" collapsed="false">
      <c r="A2" s="3" t="s">
        <v>122</v>
      </c>
      <c r="B2" s="3" t="s">
        <v>122</v>
      </c>
      <c r="C2" s="3" t="s">
        <v>122</v>
      </c>
      <c r="D2" s="3" t="s">
        <v>122</v>
      </c>
      <c r="E2" s="3" t="s">
        <v>122</v>
      </c>
      <c r="F2" s="3" t="s">
        <v>122</v>
      </c>
      <c r="G2" s="3" t="s">
        <v>122</v>
      </c>
      <c r="H2" s="3" t="s">
        <v>122</v>
      </c>
      <c r="I2" s="3" t="s">
        <v>122</v>
      </c>
      <c r="J2" s="3" t="s">
        <v>122</v>
      </c>
      <c r="K2" s="3" t="s">
        <v>122</v>
      </c>
      <c r="L2" s="3" t="s">
        <v>122</v>
      </c>
      <c r="M2" s="3" t="s">
        <v>122</v>
      </c>
      <c r="N2" s="3" t="s">
        <v>122</v>
      </c>
      <c r="O2" s="3" t="s">
        <v>122</v>
      </c>
    </row>
    <row r="4" customFormat="false" ht="15" hidden="false" customHeight="true" outlineLevel="0" collapsed="false">
      <c r="A4" s="31" t="s">
        <v>123</v>
      </c>
      <c r="B4" s="31" t="s">
        <v>123</v>
      </c>
      <c r="C4" s="31" t="s">
        <v>123</v>
      </c>
      <c r="D4" s="31" t="s">
        <v>123</v>
      </c>
      <c r="E4" s="31" t="s">
        <v>123</v>
      </c>
      <c r="F4" s="31" t="s">
        <v>123</v>
      </c>
      <c r="G4" s="31" t="s">
        <v>123</v>
      </c>
      <c r="H4" s="31" t="s">
        <v>123</v>
      </c>
      <c r="I4" s="31" t="s">
        <v>123</v>
      </c>
      <c r="J4" s="31" t="s">
        <v>123</v>
      </c>
      <c r="K4" s="31" t="s">
        <v>123</v>
      </c>
      <c r="L4" s="31" t="s">
        <v>123</v>
      </c>
      <c r="M4" s="31" t="s">
        <v>123</v>
      </c>
      <c r="N4" s="31" t="s">
        <v>123</v>
      </c>
      <c r="O4" s="31" t="s">
        <v>123</v>
      </c>
    </row>
    <row r="5" customFormat="false" ht="34" hidden="false" customHeight="true" outlineLevel="0" collapsed="false">
      <c r="A5" s="32" t="s">
        <v>124</v>
      </c>
      <c r="B5" s="33" t="s">
        <v>75</v>
      </c>
      <c r="C5" s="33" t="s">
        <v>77</v>
      </c>
      <c r="D5" s="33" t="s">
        <v>78</v>
      </c>
      <c r="E5" s="33" t="s">
        <v>80</v>
      </c>
      <c r="F5" s="33" t="s">
        <v>125</v>
      </c>
      <c r="G5" s="33" t="s">
        <v>83</v>
      </c>
      <c r="H5" s="33" t="s">
        <v>84</v>
      </c>
      <c r="I5" s="33" t="s">
        <v>126</v>
      </c>
      <c r="J5" s="33" t="s">
        <v>127</v>
      </c>
      <c r="K5" s="33" t="s">
        <v>128</v>
      </c>
      <c r="L5" s="33" t="s">
        <v>129</v>
      </c>
      <c r="M5" s="33" t="s">
        <v>130</v>
      </c>
      <c r="N5" s="33" t="s">
        <v>131</v>
      </c>
      <c r="O5" s="34" t="s">
        <v>132</v>
      </c>
    </row>
    <row r="6" customFormat="false" ht="15" hidden="false" customHeight="false" outlineLevel="0" collapsed="false">
      <c r="A6" s="35"/>
      <c r="B6" s="36"/>
      <c r="C6" s="35"/>
      <c r="D6" s="35"/>
      <c r="E6" s="35"/>
      <c r="F6" s="35"/>
      <c r="G6" s="35"/>
      <c r="H6" s="35"/>
      <c r="I6" s="37"/>
      <c r="J6" s="35"/>
      <c r="K6" s="59"/>
      <c r="L6" s="35"/>
      <c r="M6" s="35"/>
      <c r="N6" s="35"/>
      <c r="O6" s="35"/>
    </row>
    <row r="7" customFormat="false" ht="15" hidden="false" customHeight="false" outlineLevel="0" collapsed="false">
      <c r="A7" s="44"/>
      <c r="B7" s="45"/>
      <c r="C7" s="44"/>
      <c r="D7" s="44"/>
      <c r="E7" s="44"/>
      <c r="F7" s="44"/>
      <c r="G7" s="44"/>
      <c r="H7" s="44"/>
      <c r="I7" s="46"/>
      <c r="J7" s="44"/>
      <c r="K7" s="60"/>
      <c r="L7" s="44"/>
      <c r="M7" s="44"/>
      <c r="N7" s="44"/>
      <c r="O7" s="44"/>
    </row>
    <row r="8" customFormat="false" ht="15" hidden="false" customHeight="false" outlineLevel="0" collapsed="false">
      <c r="A8" s="44"/>
      <c r="B8" s="45"/>
      <c r="C8" s="44"/>
      <c r="D8" s="44"/>
      <c r="E8" s="44"/>
      <c r="F8" s="44"/>
      <c r="G8" s="44"/>
      <c r="H8" s="44"/>
      <c r="I8" s="46"/>
      <c r="J8" s="44"/>
      <c r="K8" s="60"/>
      <c r="L8" s="44"/>
      <c r="M8" s="44"/>
      <c r="N8" s="44"/>
      <c r="O8" s="44"/>
    </row>
    <row r="9" customFormat="false" ht="15" hidden="false" customHeight="false" outlineLevel="0" collapsed="false">
      <c r="A9" s="44"/>
      <c r="B9" s="45"/>
      <c r="C9" s="44"/>
      <c r="D9" s="44"/>
      <c r="E9" s="44"/>
      <c r="F9" s="44"/>
      <c r="G9" s="44"/>
      <c r="H9" s="44"/>
      <c r="I9" s="46"/>
      <c r="J9" s="44"/>
      <c r="K9" s="60"/>
      <c r="L9" s="44"/>
      <c r="M9" s="44"/>
      <c r="N9" s="44"/>
      <c r="O9" s="44"/>
    </row>
    <row r="10" customFormat="false" ht="15" hidden="false" customHeight="false" outlineLevel="0" collapsed="false">
      <c r="A10" s="44"/>
      <c r="B10" s="45"/>
      <c r="C10" s="44"/>
      <c r="D10" s="44"/>
      <c r="E10" s="44"/>
      <c r="F10" s="44"/>
      <c r="G10" s="44"/>
      <c r="H10" s="44"/>
      <c r="I10" s="46"/>
      <c r="J10" s="44"/>
      <c r="K10" s="60"/>
      <c r="L10" s="44"/>
      <c r="M10" s="44"/>
      <c r="N10" s="44"/>
      <c r="O10" s="44"/>
    </row>
    <row r="11" customFormat="false" ht="15" hidden="false" customHeight="false" outlineLevel="0" collapsed="false">
      <c r="A11" s="44"/>
      <c r="B11" s="45"/>
      <c r="C11" s="44"/>
      <c r="D11" s="44"/>
      <c r="E11" s="44"/>
      <c r="F11" s="44"/>
      <c r="G11" s="44"/>
      <c r="H11" s="44"/>
      <c r="I11" s="46"/>
      <c r="J11" s="44"/>
      <c r="K11" s="60"/>
      <c r="L11" s="44"/>
      <c r="M11" s="44"/>
      <c r="N11" s="44"/>
      <c r="O11" s="44"/>
    </row>
    <row r="12" customFormat="false" ht="15" hidden="false" customHeight="false" outlineLevel="0" collapsed="false">
      <c r="A12" s="44"/>
      <c r="B12" s="45"/>
      <c r="C12" s="44"/>
      <c r="D12" s="44"/>
      <c r="E12" s="44"/>
      <c r="F12" s="44"/>
      <c r="G12" s="44"/>
      <c r="H12" s="44"/>
      <c r="I12" s="46"/>
      <c r="J12" s="44"/>
      <c r="K12" s="60"/>
      <c r="L12" s="44"/>
      <c r="M12" s="44"/>
      <c r="N12" s="44"/>
      <c r="O12" s="44"/>
    </row>
    <row r="13" customFormat="false" ht="15" hidden="false" customHeight="false" outlineLevel="0" collapsed="false">
      <c r="A13" s="44"/>
      <c r="B13" s="45"/>
      <c r="C13" s="44"/>
      <c r="D13" s="44"/>
      <c r="E13" s="44"/>
      <c r="F13" s="44"/>
      <c r="G13" s="44"/>
      <c r="H13" s="44"/>
      <c r="I13" s="46"/>
      <c r="J13" s="44"/>
      <c r="K13" s="60"/>
      <c r="L13" s="44"/>
      <c r="M13" s="44"/>
      <c r="N13" s="44"/>
      <c r="O13" s="44"/>
    </row>
    <row r="14" customFormat="false" ht="15" hidden="false" customHeight="false" outlineLevel="0" collapsed="false">
      <c r="A14" s="44"/>
      <c r="B14" s="45"/>
      <c r="C14" s="44"/>
      <c r="D14" s="44"/>
      <c r="E14" s="44"/>
      <c r="F14" s="44"/>
      <c r="G14" s="44"/>
      <c r="H14" s="44"/>
      <c r="I14" s="46"/>
      <c r="J14" s="44"/>
      <c r="K14" s="60"/>
      <c r="L14" s="44"/>
      <c r="M14" s="44"/>
      <c r="N14" s="44"/>
      <c r="O14" s="44"/>
    </row>
    <row r="15" customFormat="false" ht="15" hidden="false" customHeight="false" outlineLevel="0" collapsed="false">
      <c r="A15" s="44"/>
      <c r="B15" s="45"/>
      <c r="C15" s="44"/>
      <c r="D15" s="44"/>
      <c r="E15" s="44"/>
      <c r="F15" s="44"/>
      <c r="G15" s="44"/>
      <c r="H15" s="44"/>
      <c r="I15" s="46"/>
      <c r="J15" s="44"/>
      <c r="K15" s="60"/>
      <c r="L15" s="44"/>
      <c r="M15" s="44"/>
      <c r="N15" s="44"/>
      <c r="O15" s="44"/>
    </row>
    <row r="16" customFormat="false" ht="15" hidden="false" customHeight="false" outlineLevel="0" collapsed="false">
      <c r="A16" s="44"/>
      <c r="B16" s="45"/>
      <c r="C16" s="44"/>
      <c r="D16" s="44"/>
      <c r="E16" s="44"/>
      <c r="F16" s="44"/>
      <c r="G16" s="44"/>
      <c r="H16" s="44"/>
      <c r="I16" s="46"/>
      <c r="J16" s="44"/>
      <c r="K16" s="60"/>
      <c r="L16" s="44"/>
      <c r="M16" s="44"/>
      <c r="N16" s="44"/>
      <c r="O16" s="44"/>
    </row>
    <row r="17" customFormat="false" ht="15" hidden="false" customHeight="false" outlineLevel="0" collapsed="false">
      <c r="A17" s="44"/>
      <c r="B17" s="45"/>
      <c r="C17" s="44"/>
      <c r="D17" s="44"/>
      <c r="E17" s="44"/>
      <c r="F17" s="44"/>
      <c r="G17" s="44"/>
      <c r="H17" s="44"/>
      <c r="I17" s="46"/>
      <c r="J17" s="44"/>
      <c r="K17" s="60"/>
      <c r="L17" s="44"/>
      <c r="M17" s="44"/>
      <c r="N17" s="44"/>
      <c r="O17" s="44"/>
    </row>
    <row r="18" customFormat="false" ht="15" hidden="false" customHeight="false" outlineLevel="0" collapsed="false">
      <c r="A18" s="44"/>
      <c r="B18" s="45"/>
      <c r="C18" s="44"/>
      <c r="D18" s="44"/>
      <c r="E18" s="44"/>
      <c r="F18" s="44"/>
      <c r="G18" s="44"/>
      <c r="H18" s="44"/>
      <c r="I18" s="46"/>
      <c r="J18" s="44"/>
      <c r="K18" s="60"/>
      <c r="L18" s="44"/>
      <c r="M18" s="44"/>
      <c r="N18" s="44"/>
      <c r="O18" s="44"/>
    </row>
    <row r="19" customFormat="false" ht="15" hidden="false" customHeight="false" outlineLevel="0" collapsed="false">
      <c r="A19" s="44"/>
      <c r="B19" s="45"/>
      <c r="C19" s="44"/>
      <c r="D19" s="44"/>
      <c r="E19" s="44"/>
      <c r="F19" s="44"/>
      <c r="G19" s="44"/>
      <c r="H19" s="44"/>
      <c r="I19" s="46"/>
      <c r="J19" s="44"/>
      <c r="K19" s="60"/>
      <c r="L19" s="44"/>
      <c r="M19" s="44"/>
      <c r="N19" s="44"/>
      <c r="O19" s="44"/>
    </row>
    <row r="20" customFormat="false" ht="15" hidden="false" customHeight="false" outlineLevel="0" collapsed="false">
      <c r="A20" s="44"/>
      <c r="B20" s="45"/>
      <c r="C20" s="44"/>
      <c r="D20" s="44"/>
      <c r="E20" s="44"/>
      <c r="F20" s="44"/>
      <c r="G20" s="44"/>
      <c r="H20" s="44"/>
      <c r="I20" s="46"/>
      <c r="J20" s="44"/>
      <c r="K20" s="60"/>
      <c r="L20" s="44"/>
      <c r="M20" s="44"/>
      <c r="N20" s="44"/>
      <c r="O20" s="44"/>
    </row>
    <row r="21" customFormat="false" ht="15" hidden="false" customHeight="false" outlineLevel="0" collapsed="false">
      <c r="A21" s="44"/>
      <c r="B21" s="45"/>
      <c r="C21" s="44"/>
      <c r="D21" s="44"/>
      <c r="E21" s="44"/>
      <c r="F21" s="44"/>
      <c r="G21" s="44"/>
      <c r="H21" s="44"/>
      <c r="I21" s="46"/>
      <c r="J21" s="44"/>
      <c r="K21" s="60"/>
      <c r="L21" s="44"/>
      <c r="M21" s="44"/>
      <c r="N21" s="44"/>
      <c r="O21" s="44"/>
    </row>
    <row r="22" customFormat="false" ht="15" hidden="false" customHeight="false" outlineLevel="0" collapsed="false">
      <c r="A22" s="44"/>
      <c r="B22" s="45"/>
      <c r="C22" s="44"/>
      <c r="D22" s="44"/>
      <c r="E22" s="44"/>
      <c r="F22" s="44"/>
      <c r="G22" s="44"/>
      <c r="H22" s="44"/>
      <c r="I22" s="46"/>
      <c r="J22" s="44"/>
      <c r="K22" s="60"/>
      <c r="L22" s="44"/>
      <c r="M22" s="44"/>
      <c r="N22" s="44"/>
      <c r="O22" s="44"/>
    </row>
    <row r="23" customFormat="false" ht="15" hidden="false" customHeight="false" outlineLevel="0" collapsed="false">
      <c r="A23" s="44"/>
      <c r="B23" s="45"/>
      <c r="C23" s="44"/>
      <c r="D23" s="44"/>
      <c r="E23" s="44"/>
      <c r="F23" s="44"/>
      <c r="G23" s="44"/>
      <c r="H23" s="44"/>
      <c r="I23" s="46"/>
      <c r="J23" s="44"/>
      <c r="K23" s="60"/>
      <c r="L23" s="44"/>
      <c r="M23" s="44"/>
      <c r="N23" s="44"/>
      <c r="O23" s="44"/>
    </row>
    <row r="24" customFormat="false" ht="15" hidden="false" customHeight="false" outlineLevel="0" collapsed="false">
      <c r="A24" s="44"/>
      <c r="B24" s="45"/>
      <c r="C24" s="44"/>
      <c r="D24" s="44"/>
      <c r="E24" s="44"/>
      <c r="F24" s="44"/>
      <c r="G24" s="44"/>
      <c r="H24" s="44"/>
      <c r="I24" s="46"/>
      <c r="J24" s="44"/>
      <c r="K24" s="60"/>
      <c r="L24" s="44"/>
      <c r="M24" s="44"/>
      <c r="N24" s="44"/>
      <c r="O24" s="44"/>
    </row>
    <row r="25" customFormat="false" ht="15" hidden="false" customHeight="false" outlineLevel="0" collapsed="false">
      <c r="A25" s="44"/>
      <c r="B25" s="45"/>
      <c r="C25" s="44"/>
      <c r="D25" s="44"/>
      <c r="E25" s="44"/>
      <c r="F25" s="44"/>
      <c r="G25" s="44"/>
      <c r="H25" s="44"/>
      <c r="I25" s="46"/>
      <c r="J25" s="44"/>
      <c r="K25" s="60"/>
      <c r="L25" s="44"/>
      <c r="M25" s="44"/>
      <c r="N25" s="44"/>
      <c r="O25" s="44"/>
    </row>
    <row r="26" customFormat="false" ht="15" hidden="false" customHeight="false" outlineLevel="0" collapsed="false">
      <c r="A26" s="44"/>
      <c r="B26" s="45"/>
      <c r="C26" s="44"/>
      <c r="D26" s="44"/>
      <c r="E26" s="44"/>
      <c r="F26" s="44"/>
      <c r="G26" s="44"/>
      <c r="H26" s="44"/>
      <c r="I26" s="46"/>
      <c r="J26" s="44"/>
      <c r="K26" s="60"/>
      <c r="L26" s="44"/>
      <c r="M26" s="44"/>
      <c r="N26" s="44"/>
      <c r="O26" s="44"/>
    </row>
    <row r="27" customFormat="false" ht="15" hidden="false" customHeight="false" outlineLevel="0" collapsed="false">
      <c r="A27" s="44"/>
      <c r="B27" s="45"/>
      <c r="C27" s="44"/>
      <c r="D27" s="44"/>
      <c r="E27" s="44"/>
      <c r="F27" s="44"/>
      <c r="G27" s="44"/>
      <c r="H27" s="44"/>
      <c r="I27" s="46"/>
      <c r="J27" s="44"/>
      <c r="K27" s="60"/>
      <c r="L27" s="44"/>
      <c r="M27" s="44"/>
      <c r="N27" s="44"/>
      <c r="O27" s="44"/>
    </row>
    <row r="28" customFormat="false" ht="15" hidden="false" customHeight="false" outlineLevel="0" collapsed="false">
      <c r="A28" s="44"/>
      <c r="B28" s="45"/>
      <c r="C28" s="44"/>
      <c r="D28" s="44"/>
      <c r="E28" s="44"/>
      <c r="F28" s="44"/>
      <c r="G28" s="44"/>
      <c r="H28" s="44"/>
      <c r="I28" s="46"/>
      <c r="J28" s="44"/>
      <c r="K28" s="60"/>
      <c r="L28" s="44"/>
      <c r="M28" s="44"/>
      <c r="N28" s="44"/>
      <c r="O28" s="44"/>
    </row>
    <row r="29" customFormat="false" ht="15" hidden="false" customHeight="false" outlineLevel="0" collapsed="false">
      <c r="A29" s="44"/>
      <c r="B29" s="45"/>
      <c r="C29" s="44"/>
      <c r="D29" s="44"/>
      <c r="E29" s="44"/>
      <c r="F29" s="44"/>
      <c r="G29" s="44"/>
      <c r="H29" s="44"/>
      <c r="I29" s="46"/>
      <c r="J29" s="44"/>
      <c r="K29" s="60"/>
      <c r="L29" s="44"/>
      <c r="M29" s="44"/>
      <c r="N29" s="44"/>
      <c r="O29" s="44"/>
    </row>
    <row r="30" customFormat="false" ht="15" hidden="false" customHeight="false" outlineLevel="0" collapsed="false">
      <c r="A30" s="44"/>
      <c r="B30" s="45"/>
      <c r="C30" s="44"/>
      <c r="D30" s="44"/>
      <c r="E30" s="44"/>
      <c r="F30" s="44"/>
      <c r="G30" s="44"/>
      <c r="H30" s="44"/>
      <c r="I30" s="46"/>
      <c r="J30" s="44"/>
      <c r="K30" s="60"/>
      <c r="L30" s="44"/>
      <c r="M30" s="44"/>
      <c r="N30" s="44"/>
      <c r="O30" s="44"/>
    </row>
    <row r="31" customFormat="false" ht="15" hidden="false" customHeight="false" outlineLevel="0" collapsed="false">
      <c r="A31" s="44"/>
      <c r="B31" s="45"/>
      <c r="C31" s="44"/>
      <c r="D31" s="44"/>
      <c r="E31" s="44"/>
      <c r="F31" s="44"/>
      <c r="G31" s="44"/>
      <c r="H31" s="44"/>
      <c r="I31" s="46"/>
      <c r="J31" s="44"/>
      <c r="K31" s="60"/>
      <c r="L31" s="44"/>
      <c r="M31" s="44"/>
      <c r="N31" s="44"/>
      <c r="O31" s="44"/>
    </row>
    <row r="32" customFormat="false" ht="15" hidden="false" customHeight="false" outlineLevel="0" collapsed="false">
      <c r="A32" s="44"/>
      <c r="B32" s="45"/>
      <c r="C32" s="44"/>
      <c r="D32" s="44"/>
      <c r="E32" s="44"/>
      <c r="F32" s="44"/>
      <c r="G32" s="44"/>
      <c r="H32" s="44"/>
      <c r="I32" s="46"/>
      <c r="J32" s="44"/>
      <c r="K32" s="60"/>
      <c r="L32" s="44"/>
      <c r="M32" s="44"/>
      <c r="N32" s="44"/>
      <c r="O32" s="44"/>
    </row>
    <row r="33" customFormat="false" ht="15" hidden="false" customHeight="false" outlineLevel="0" collapsed="false">
      <c r="A33" s="44"/>
      <c r="B33" s="45"/>
      <c r="C33" s="44"/>
      <c r="D33" s="44"/>
      <c r="E33" s="44"/>
      <c r="F33" s="44"/>
      <c r="G33" s="44"/>
      <c r="H33" s="44"/>
      <c r="I33" s="46"/>
      <c r="J33" s="44"/>
      <c r="K33" s="60"/>
      <c r="L33" s="44"/>
      <c r="M33" s="44"/>
      <c r="N33" s="44"/>
      <c r="O33" s="44"/>
    </row>
    <row r="34" customFormat="false" ht="15" hidden="false" customHeight="false" outlineLevel="0" collapsed="false">
      <c r="A34" s="44"/>
      <c r="B34" s="45"/>
      <c r="C34" s="44"/>
      <c r="D34" s="44"/>
      <c r="E34" s="44"/>
      <c r="F34" s="44"/>
      <c r="G34" s="44"/>
      <c r="H34" s="44"/>
      <c r="I34" s="46"/>
      <c r="J34" s="44"/>
      <c r="K34" s="60"/>
      <c r="L34" s="44"/>
      <c r="M34" s="44"/>
      <c r="N34" s="44"/>
      <c r="O34" s="44"/>
    </row>
    <row r="35" customFormat="false" ht="15" hidden="false" customHeight="false" outlineLevel="0" collapsed="false">
      <c r="A35" s="44"/>
      <c r="B35" s="45"/>
      <c r="C35" s="44"/>
      <c r="D35" s="44"/>
      <c r="E35" s="44"/>
      <c r="F35" s="44"/>
      <c r="G35" s="44"/>
      <c r="H35" s="44"/>
      <c r="I35" s="46"/>
      <c r="J35" s="44"/>
      <c r="K35" s="60"/>
      <c r="L35" s="44"/>
      <c r="M35" s="44"/>
      <c r="N35" s="44"/>
      <c r="O35" s="44"/>
    </row>
    <row r="36" customFormat="false" ht="15" hidden="false" customHeight="false" outlineLevel="0" collapsed="false">
      <c r="A36" s="44"/>
      <c r="B36" s="45"/>
      <c r="C36" s="44"/>
      <c r="D36" s="44"/>
      <c r="E36" s="44"/>
      <c r="F36" s="44"/>
      <c r="G36" s="44"/>
      <c r="H36" s="44"/>
      <c r="I36" s="46"/>
      <c r="J36" s="44"/>
      <c r="K36" s="60"/>
      <c r="L36" s="44"/>
      <c r="M36" s="44"/>
      <c r="N36" s="44"/>
      <c r="O36" s="44"/>
    </row>
    <row r="37" customFormat="false" ht="15" hidden="false" customHeight="false" outlineLevel="0" collapsed="false">
      <c r="A37" s="44"/>
      <c r="B37" s="45"/>
      <c r="C37" s="44"/>
      <c r="D37" s="44"/>
      <c r="E37" s="44"/>
      <c r="F37" s="44"/>
      <c r="G37" s="44"/>
      <c r="H37" s="44"/>
      <c r="I37" s="46"/>
      <c r="J37" s="44"/>
      <c r="K37" s="60"/>
      <c r="L37" s="44"/>
      <c r="M37" s="44"/>
      <c r="N37" s="44"/>
      <c r="O37" s="44"/>
    </row>
    <row r="38" customFormat="false" ht="15" hidden="false" customHeight="false" outlineLevel="0" collapsed="false">
      <c r="A38" s="44"/>
      <c r="B38" s="45"/>
      <c r="C38" s="44"/>
      <c r="D38" s="44"/>
      <c r="E38" s="44"/>
      <c r="F38" s="44"/>
      <c r="G38" s="44"/>
      <c r="H38" s="44"/>
      <c r="I38" s="46"/>
      <c r="J38" s="44"/>
      <c r="K38" s="60"/>
      <c r="L38" s="44"/>
      <c r="M38" s="44"/>
      <c r="N38" s="44"/>
      <c r="O38" s="44"/>
    </row>
    <row r="39" customFormat="false" ht="15" hidden="false" customHeight="false" outlineLevel="0" collapsed="false">
      <c r="A39" s="44"/>
      <c r="B39" s="45"/>
      <c r="C39" s="44"/>
      <c r="D39" s="44"/>
      <c r="E39" s="44"/>
      <c r="F39" s="44"/>
      <c r="G39" s="44"/>
      <c r="H39" s="44"/>
      <c r="I39" s="46"/>
      <c r="J39" s="44"/>
      <c r="K39" s="60"/>
      <c r="L39" s="44"/>
      <c r="M39" s="44"/>
      <c r="N39" s="44"/>
      <c r="O39" s="44"/>
    </row>
    <row r="40" customFormat="false" ht="15" hidden="false" customHeight="false" outlineLevel="0" collapsed="false">
      <c r="A40" s="44"/>
      <c r="B40" s="45"/>
      <c r="C40" s="44"/>
      <c r="D40" s="44"/>
      <c r="E40" s="44"/>
      <c r="F40" s="44"/>
      <c r="G40" s="44"/>
      <c r="H40" s="44"/>
      <c r="I40" s="46"/>
      <c r="J40" s="44"/>
      <c r="K40" s="60"/>
      <c r="L40" s="44"/>
      <c r="M40" s="44"/>
      <c r="N40" s="44"/>
      <c r="O40" s="44"/>
    </row>
    <row r="41" customFormat="false" ht="15" hidden="false" customHeight="false" outlineLevel="0" collapsed="false">
      <c r="A41" s="44"/>
      <c r="B41" s="45"/>
      <c r="C41" s="44"/>
      <c r="D41" s="44"/>
      <c r="E41" s="44"/>
      <c r="F41" s="44"/>
      <c r="G41" s="44"/>
      <c r="H41" s="44"/>
      <c r="I41" s="46"/>
      <c r="J41" s="44"/>
      <c r="K41" s="60"/>
      <c r="L41" s="44"/>
      <c r="M41" s="44"/>
      <c r="N41" s="44"/>
      <c r="O41" s="44"/>
    </row>
    <row r="42" customFormat="false" ht="15" hidden="false" customHeight="false" outlineLevel="0" collapsed="false">
      <c r="A42" s="44"/>
      <c r="B42" s="45"/>
      <c r="C42" s="44"/>
      <c r="D42" s="44"/>
      <c r="E42" s="44"/>
      <c r="F42" s="44"/>
      <c r="G42" s="44"/>
      <c r="H42" s="44"/>
      <c r="I42" s="46"/>
      <c r="J42" s="44"/>
      <c r="K42" s="60"/>
      <c r="L42" s="44"/>
      <c r="M42" s="44"/>
      <c r="N42" s="44"/>
      <c r="O42" s="44"/>
    </row>
    <row r="43" customFormat="false" ht="15" hidden="false" customHeight="false" outlineLevel="0" collapsed="false">
      <c r="A43" s="44"/>
      <c r="B43" s="45"/>
      <c r="C43" s="44"/>
      <c r="D43" s="44"/>
      <c r="E43" s="44"/>
      <c r="F43" s="44"/>
      <c r="G43" s="44"/>
      <c r="H43" s="44"/>
      <c r="I43" s="46"/>
      <c r="J43" s="44"/>
      <c r="K43" s="60"/>
      <c r="L43" s="44"/>
      <c r="M43" s="44"/>
      <c r="N43" s="44"/>
      <c r="O43" s="44"/>
    </row>
    <row r="44" customFormat="false" ht="15" hidden="false" customHeight="false" outlineLevel="0" collapsed="false">
      <c r="A44" s="44"/>
      <c r="B44" s="45"/>
      <c r="C44" s="44"/>
      <c r="D44" s="44"/>
      <c r="E44" s="44"/>
      <c r="F44" s="44"/>
      <c r="G44" s="44"/>
      <c r="H44" s="44"/>
      <c r="I44" s="46"/>
      <c r="J44" s="44"/>
      <c r="K44" s="60"/>
      <c r="L44" s="44"/>
      <c r="M44" s="44"/>
      <c r="N44" s="44"/>
      <c r="O44" s="44"/>
    </row>
    <row r="45" customFormat="false" ht="15" hidden="false" customHeight="false" outlineLevel="0" collapsed="false">
      <c r="A45" s="44"/>
      <c r="B45" s="45"/>
      <c r="C45" s="44"/>
      <c r="D45" s="44"/>
      <c r="E45" s="44"/>
      <c r="F45" s="44"/>
      <c r="G45" s="44"/>
      <c r="H45" s="44"/>
      <c r="I45" s="46"/>
      <c r="J45" s="44"/>
      <c r="K45" s="60"/>
      <c r="L45" s="44"/>
      <c r="M45" s="44"/>
      <c r="N45" s="44"/>
      <c r="O45" s="44"/>
    </row>
    <row r="46" customFormat="false" ht="15" hidden="false" customHeight="false" outlineLevel="0" collapsed="false">
      <c r="A46" s="44"/>
      <c r="B46" s="45"/>
      <c r="C46" s="44"/>
      <c r="D46" s="44"/>
      <c r="E46" s="44"/>
      <c r="F46" s="44"/>
      <c r="G46" s="44"/>
      <c r="H46" s="44"/>
      <c r="I46" s="46"/>
      <c r="J46" s="44"/>
      <c r="K46" s="60"/>
      <c r="L46" s="44"/>
      <c r="M46" s="44"/>
      <c r="N46" s="44"/>
      <c r="O46" s="44"/>
    </row>
    <row r="47" customFormat="false" ht="15" hidden="false" customHeight="false" outlineLevel="0" collapsed="false">
      <c r="A47" s="44"/>
      <c r="B47" s="45"/>
      <c r="C47" s="44"/>
      <c r="D47" s="44"/>
      <c r="E47" s="44"/>
      <c r="F47" s="44"/>
      <c r="G47" s="44"/>
      <c r="H47" s="44"/>
      <c r="I47" s="46"/>
      <c r="J47" s="44"/>
      <c r="K47" s="60"/>
      <c r="L47" s="44"/>
      <c r="M47" s="44"/>
      <c r="N47" s="44"/>
      <c r="O47" s="44"/>
    </row>
    <row r="48" customFormat="false" ht="15" hidden="false" customHeight="false" outlineLevel="0" collapsed="false">
      <c r="A48" s="44"/>
      <c r="B48" s="45"/>
      <c r="C48" s="44"/>
      <c r="D48" s="44"/>
      <c r="E48" s="44"/>
      <c r="F48" s="44"/>
      <c r="G48" s="44"/>
      <c r="H48" s="44"/>
      <c r="I48" s="46"/>
      <c r="J48" s="44"/>
      <c r="K48" s="60"/>
      <c r="L48" s="44"/>
      <c r="M48" s="44"/>
      <c r="N48" s="44"/>
      <c r="O48" s="44"/>
    </row>
    <row r="49" customFormat="false" ht="15" hidden="false" customHeight="false" outlineLevel="0" collapsed="false">
      <c r="A49" s="44"/>
      <c r="B49" s="45"/>
      <c r="C49" s="44"/>
      <c r="D49" s="44"/>
      <c r="E49" s="44"/>
      <c r="F49" s="44"/>
      <c r="G49" s="44"/>
      <c r="H49" s="44"/>
      <c r="I49" s="46"/>
      <c r="J49" s="44"/>
      <c r="K49" s="60"/>
      <c r="L49" s="44"/>
      <c r="M49" s="44"/>
      <c r="N49" s="44"/>
      <c r="O49" s="44"/>
    </row>
    <row r="50" customFormat="false" ht="15" hidden="false" customHeight="false" outlineLevel="0" collapsed="false">
      <c r="A50" s="44"/>
      <c r="B50" s="45"/>
      <c r="C50" s="44"/>
      <c r="D50" s="44"/>
      <c r="E50" s="44"/>
      <c r="F50" s="44"/>
      <c r="G50" s="44"/>
      <c r="H50" s="44"/>
      <c r="I50" s="46"/>
      <c r="J50" s="44"/>
      <c r="K50" s="60"/>
      <c r="L50" s="44"/>
      <c r="M50" s="44"/>
      <c r="N50" s="44"/>
      <c r="O50" s="44"/>
    </row>
    <row r="51" customFormat="false" ht="15" hidden="false" customHeight="false" outlineLevel="0" collapsed="false">
      <c r="A51" s="44"/>
      <c r="B51" s="45"/>
      <c r="C51" s="44"/>
      <c r="D51" s="44"/>
      <c r="E51" s="44"/>
      <c r="F51" s="44"/>
      <c r="G51" s="44"/>
      <c r="H51" s="44"/>
      <c r="I51" s="46"/>
      <c r="J51" s="44"/>
      <c r="K51" s="60"/>
      <c r="L51" s="44"/>
      <c r="M51" s="44"/>
      <c r="N51" s="44"/>
      <c r="O51" s="44"/>
    </row>
    <row r="52" customFormat="false" ht="15" hidden="false" customHeight="false" outlineLevel="0" collapsed="false">
      <c r="A52" s="44"/>
      <c r="B52" s="45"/>
      <c r="C52" s="44"/>
      <c r="D52" s="44"/>
      <c r="E52" s="44"/>
      <c r="F52" s="44"/>
      <c r="G52" s="44"/>
      <c r="H52" s="44"/>
      <c r="I52" s="46"/>
      <c r="J52" s="44"/>
      <c r="K52" s="60"/>
      <c r="L52" s="44"/>
      <c r="M52" s="44"/>
      <c r="N52" s="44"/>
      <c r="O52" s="44"/>
    </row>
    <row r="53" customFormat="false" ht="15" hidden="false" customHeight="false" outlineLevel="0" collapsed="false">
      <c r="A53" s="44"/>
      <c r="B53" s="45"/>
      <c r="C53" s="44"/>
      <c r="D53" s="44"/>
      <c r="E53" s="44"/>
      <c r="F53" s="44"/>
      <c r="G53" s="44"/>
      <c r="H53" s="44"/>
      <c r="I53" s="46"/>
      <c r="J53" s="44"/>
      <c r="K53" s="60"/>
      <c r="L53" s="44"/>
      <c r="M53" s="44"/>
      <c r="N53" s="44"/>
      <c r="O53" s="44"/>
    </row>
    <row r="54" customFormat="false" ht="15" hidden="false" customHeight="false" outlineLevel="0" collapsed="false">
      <c r="A54" s="44"/>
      <c r="B54" s="45"/>
      <c r="C54" s="44"/>
      <c r="D54" s="44"/>
      <c r="E54" s="44"/>
      <c r="F54" s="44"/>
      <c r="G54" s="44"/>
      <c r="H54" s="44"/>
      <c r="I54" s="46"/>
      <c r="J54" s="44"/>
      <c r="K54" s="60"/>
      <c r="L54" s="44"/>
      <c r="M54" s="44"/>
      <c r="N54" s="44"/>
      <c r="O54" s="44"/>
    </row>
    <row r="55" customFormat="false" ht="15" hidden="false" customHeight="false" outlineLevel="0" collapsed="false">
      <c r="A55" s="44"/>
      <c r="B55" s="45"/>
      <c r="C55" s="44"/>
      <c r="D55" s="44"/>
      <c r="E55" s="44"/>
      <c r="F55" s="44"/>
      <c r="G55" s="44"/>
      <c r="H55" s="44"/>
      <c r="I55" s="46"/>
      <c r="J55" s="44"/>
      <c r="K55" s="60"/>
      <c r="L55" s="44"/>
      <c r="M55" s="44"/>
      <c r="N55" s="44"/>
      <c r="O55" s="44"/>
    </row>
    <row r="56" customFormat="false" ht="15" hidden="false" customHeight="false" outlineLevel="0" collapsed="false">
      <c r="A56" s="44"/>
      <c r="B56" s="45"/>
      <c r="C56" s="44"/>
      <c r="D56" s="44"/>
      <c r="E56" s="44"/>
      <c r="F56" s="44"/>
      <c r="G56" s="44"/>
      <c r="H56" s="44"/>
      <c r="I56" s="46"/>
      <c r="J56" s="44"/>
      <c r="K56" s="60"/>
      <c r="L56" s="44"/>
      <c r="M56" s="44"/>
      <c r="N56" s="44"/>
      <c r="O56" s="44"/>
    </row>
    <row r="57" customFormat="false" ht="15" hidden="false" customHeight="false" outlineLevel="0" collapsed="false">
      <c r="A57" s="44"/>
      <c r="B57" s="45"/>
      <c r="C57" s="44"/>
      <c r="D57" s="44"/>
      <c r="E57" s="44"/>
      <c r="F57" s="44"/>
      <c r="G57" s="44"/>
      <c r="H57" s="44"/>
      <c r="I57" s="46"/>
      <c r="J57" s="44"/>
      <c r="K57" s="60"/>
      <c r="L57" s="44"/>
      <c r="M57" s="44"/>
      <c r="N57" s="44"/>
      <c r="O57" s="44"/>
    </row>
    <row r="58" customFormat="false" ht="15" hidden="false" customHeight="false" outlineLevel="0" collapsed="false">
      <c r="A58" s="44"/>
      <c r="B58" s="45"/>
      <c r="C58" s="44"/>
      <c r="D58" s="44"/>
      <c r="E58" s="44"/>
      <c r="F58" s="44"/>
      <c r="G58" s="44"/>
      <c r="H58" s="44"/>
      <c r="I58" s="46"/>
      <c r="J58" s="44"/>
      <c r="K58" s="60"/>
      <c r="L58" s="44"/>
      <c r="M58" s="44"/>
      <c r="N58" s="44"/>
      <c r="O58" s="44"/>
    </row>
    <row r="59" customFormat="false" ht="15" hidden="false" customHeight="false" outlineLevel="0" collapsed="false">
      <c r="A59" s="44"/>
      <c r="B59" s="45"/>
      <c r="C59" s="44"/>
      <c r="D59" s="44"/>
      <c r="E59" s="44"/>
      <c r="F59" s="44"/>
      <c r="G59" s="44"/>
      <c r="H59" s="44"/>
      <c r="I59" s="46"/>
      <c r="J59" s="44"/>
      <c r="K59" s="60"/>
      <c r="L59" s="44"/>
      <c r="M59" s="44"/>
      <c r="N59" s="44"/>
      <c r="O59" s="44"/>
    </row>
    <row r="60" customFormat="false" ht="15" hidden="false" customHeight="false" outlineLevel="0" collapsed="false">
      <c r="A60" s="44"/>
      <c r="B60" s="45"/>
      <c r="C60" s="44"/>
      <c r="D60" s="44"/>
      <c r="E60" s="44"/>
      <c r="F60" s="44"/>
      <c r="G60" s="44"/>
      <c r="H60" s="44"/>
      <c r="I60" s="46"/>
      <c r="J60" s="44"/>
      <c r="K60" s="60"/>
      <c r="L60" s="44"/>
      <c r="M60" s="44"/>
      <c r="N60" s="44"/>
      <c r="O60" s="44"/>
    </row>
    <row r="61" customFormat="false" ht="15" hidden="false" customHeight="false" outlineLevel="0" collapsed="false">
      <c r="A61" s="44"/>
      <c r="B61" s="45"/>
      <c r="C61" s="44"/>
      <c r="D61" s="44"/>
      <c r="E61" s="44"/>
      <c r="F61" s="44"/>
      <c r="G61" s="44"/>
      <c r="H61" s="44"/>
      <c r="I61" s="46"/>
      <c r="J61" s="44"/>
      <c r="K61" s="60"/>
      <c r="L61" s="44"/>
      <c r="M61" s="44"/>
      <c r="N61" s="44"/>
      <c r="O61" s="44"/>
    </row>
    <row r="62" customFormat="false" ht="15" hidden="false" customHeight="false" outlineLevel="0" collapsed="false">
      <c r="A62" s="44"/>
      <c r="B62" s="45"/>
      <c r="C62" s="44"/>
      <c r="D62" s="44"/>
      <c r="E62" s="44"/>
      <c r="F62" s="44"/>
      <c r="G62" s="44"/>
      <c r="H62" s="44"/>
      <c r="I62" s="46"/>
      <c r="J62" s="44"/>
      <c r="K62" s="60"/>
      <c r="L62" s="44"/>
      <c r="M62" s="44"/>
      <c r="N62" s="44"/>
      <c r="O62" s="44"/>
    </row>
    <row r="63" customFormat="false" ht="15" hidden="false" customHeight="false" outlineLevel="0" collapsed="false">
      <c r="A63" s="44"/>
      <c r="B63" s="45"/>
      <c r="C63" s="44"/>
      <c r="D63" s="44"/>
      <c r="E63" s="44"/>
      <c r="F63" s="44"/>
      <c r="G63" s="44"/>
      <c r="H63" s="44"/>
      <c r="I63" s="46"/>
      <c r="J63" s="44"/>
      <c r="K63" s="60"/>
      <c r="L63" s="44"/>
      <c r="M63" s="44"/>
      <c r="N63" s="44"/>
      <c r="O63" s="44"/>
    </row>
    <row r="64" customFormat="false" ht="15" hidden="false" customHeight="false" outlineLevel="0" collapsed="false">
      <c r="A64" s="44"/>
      <c r="B64" s="45"/>
      <c r="C64" s="44"/>
      <c r="D64" s="44"/>
      <c r="E64" s="44"/>
      <c r="F64" s="44"/>
      <c r="G64" s="44"/>
      <c r="H64" s="44"/>
      <c r="I64" s="46"/>
      <c r="J64" s="44"/>
      <c r="K64" s="60"/>
      <c r="L64" s="44"/>
      <c r="M64" s="44"/>
      <c r="N64" s="44"/>
      <c r="O64" s="44"/>
    </row>
    <row r="65" customFormat="false" ht="15" hidden="false" customHeight="false" outlineLevel="0" collapsed="false">
      <c r="A65" s="44"/>
      <c r="B65" s="45"/>
      <c r="C65" s="44"/>
      <c r="D65" s="44"/>
      <c r="E65" s="44"/>
      <c r="F65" s="44"/>
      <c r="G65" s="44"/>
      <c r="H65" s="44"/>
      <c r="I65" s="46"/>
      <c r="J65" s="44"/>
      <c r="K65" s="60"/>
      <c r="L65" s="44"/>
      <c r="M65" s="44"/>
      <c r="N65" s="44"/>
      <c r="O65" s="44"/>
    </row>
    <row r="66" customFormat="false" ht="15" hidden="false" customHeight="false" outlineLevel="0" collapsed="false">
      <c r="A66" s="44"/>
      <c r="B66" s="45"/>
      <c r="C66" s="44"/>
      <c r="D66" s="44"/>
      <c r="E66" s="44"/>
      <c r="F66" s="44"/>
      <c r="G66" s="44"/>
      <c r="H66" s="44"/>
      <c r="I66" s="46"/>
      <c r="J66" s="44"/>
      <c r="K66" s="60"/>
      <c r="L66" s="44"/>
      <c r="M66" s="44"/>
      <c r="N66" s="44"/>
      <c r="O66" s="44"/>
    </row>
    <row r="67" customFormat="false" ht="15" hidden="false" customHeight="false" outlineLevel="0" collapsed="false">
      <c r="A67" s="44"/>
      <c r="B67" s="45"/>
      <c r="C67" s="44"/>
      <c r="D67" s="44"/>
      <c r="E67" s="44"/>
      <c r="F67" s="44"/>
      <c r="G67" s="44"/>
      <c r="H67" s="44"/>
      <c r="I67" s="46"/>
      <c r="J67" s="44"/>
      <c r="K67" s="60"/>
      <c r="L67" s="44"/>
      <c r="M67" s="44"/>
      <c r="N67" s="44"/>
      <c r="O67" s="44"/>
    </row>
    <row r="68" customFormat="false" ht="15" hidden="false" customHeight="false" outlineLevel="0" collapsed="false">
      <c r="A68" s="44"/>
      <c r="B68" s="45"/>
      <c r="C68" s="44"/>
      <c r="D68" s="44"/>
      <c r="E68" s="44"/>
      <c r="F68" s="44"/>
      <c r="G68" s="44"/>
      <c r="H68" s="44"/>
      <c r="I68" s="46"/>
      <c r="J68" s="44"/>
      <c r="K68" s="60"/>
      <c r="L68" s="44"/>
      <c r="M68" s="44"/>
      <c r="N68" s="44"/>
      <c r="O68" s="44"/>
    </row>
    <row r="69" customFormat="false" ht="15" hidden="false" customHeight="false" outlineLevel="0" collapsed="false">
      <c r="A69" s="44"/>
      <c r="B69" s="45"/>
      <c r="C69" s="44"/>
      <c r="D69" s="44"/>
      <c r="E69" s="44"/>
      <c r="F69" s="44"/>
      <c r="G69" s="44"/>
      <c r="H69" s="44"/>
      <c r="I69" s="46"/>
      <c r="J69" s="44"/>
      <c r="K69" s="60"/>
      <c r="L69" s="44"/>
      <c r="M69" s="44"/>
      <c r="N69" s="44"/>
      <c r="O69" s="44"/>
    </row>
    <row r="70" customFormat="false" ht="15" hidden="false" customHeight="false" outlineLevel="0" collapsed="false">
      <c r="A70" s="44"/>
      <c r="B70" s="45"/>
      <c r="C70" s="44"/>
      <c r="D70" s="44"/>
      <c r="E70" s="44"/>
      <c r="F70" s="44"/>
      <c r="G70" s="44"/>
      <c r="H70" s="44"/>
      <c r="I70" s="46"/>
      <c r="J70" s="44"/>
      <c r="K70" s="60"/>
      <c r="L70" s="44"/>
      <c r="M70" s="44"/>
      <c r="N70" s="44"/>
      <c r="O70" s="44"/>
    </row>
    <row r="71" customFormat="false" ht="15" hidden="false" customHeight="false" outlineLevel="0" collapsed="false">
      <c r="A71" s="44"/>
      <c r="B71" s="45"/>
      <c r="C71" s="44"/>
      <c r="D71" s="44"/>
      <c r="E71" s="44"/>
      <c r="F71" s="44"/>
      <c r="G71" s="44"/>
      <c r="H71" s="44"/>
      <c r="I71" s="46"/>
      <c r="J71" s="44"/>
      <c r="K71" s="60"/>
      <c r="L71" s="44"/>
      <c r="M71" s="44"/>
      <c r="N71" s="44"/>
      <c r="O71" s="44"/>
    </row>
    <row r="72" customFormat="false" ht="15" hidden="false" customHeight="false" outlineLevel="0" collapsed="false">
      <c r="A72" s="44"/>
      <c r="B72" s="45"/>
      <c r="C72" s="44"/>
      <c r="D72" s="44"/>
      <c r="E72" s="44"/>
      <c r="F72" s="44"/>
      <c r="G72" s="44"/>
      <c r="H72" s="44"/>
      <c r="I72" s="46"/>
      <c r="J72" s="44"/>
      <c r="K72" s="60"/>
      <c r="L72" s="44"/>
      <c r="M72" s="44"/>
      <c r="N72" s="44"/>
      <c r="O72" s="44"/>
    </row>
    <row r="73" customFormat="false" ht="15" hidden="false" customHeight="false" outlineLevel="0" collapsed="false">
      <c r="A73" s="44"/>
      <c r="B73" s="45"/>
      <c r="C73" s="44"/>
      <c r="D73" s="44"/>
      <c r="E73" s="44"/>
      <c r="F73" s="44"/>
      <c r="G73" s="44"/>
      <c r="H73" s="44"/>
      <c r="I73" s="46"/>
      <c r="J73" s="44"/>
      <c r="K73" s="60"/>
      <c r="L73" s="44"/>
      <c r="M73" s="44"/>
      <c r="N73" s="44"/>
      <c r="O73" s="44"/>
    </row>
    <row r="74" customFormat="false" ht="15" hidden="false" customHeight="false" outlineLevel="0" collapsed="false">
      <c r="A74" s="44"/>
      <c r="B74" s="45"/>
      <c r="C74" s="44"/>
      <c r="D74" s="44"/>
      <c r="E74" s="44"/>
      <c r="F74" s="44"/>
      <c r="G74" s="44"/>
      <c r="H74" s="44"/>
      <c r="I74" s="46"/>
      <c r="J74" s="44"/>
      <c r="K74" s="60"/>
      <c r="L74" s="44"/>
      <c r="M74" s="44"/>
      <c r="N74" s="44"/>
      <c r="O74" s="44"/>
    </row>
    <row r="75" customFormat="false" ht="15" hidden="false" customHeight="false" outlineLevel="0" collapsed="false">
      <c r="A75" s="44"/>
      <c r="B75" s="45"/>
      <c r="C75" s="44"/>
      <c r="D75" s="44"/>
      <c r="E75" s="44"/>
      <c r="F75" s="44"/>
      <c r="G75" s="44"/>
      <c r="H75" s="44"/>
      <c r="I75" s="46"/>
      <c r="J75" s="44"/>
      <c r="K75" s="60"/>
      <c r="L75" s="44"/>
      <c r="M75" s="44"/>
      <c r="N75" s="44"/>
      <c r="O75" s="44"/>
    </row>
    <row r="76" customFormat="false" ht="15" hidden="false" customHeight="false" outlineLevel="0" collapsed="false">
      <c r="A76" s="44"/>
      <c r="B76" s="45"/>
      <c r="C76" s="44"/>
      <c r="D76" s="44"/>
      <c r="E76" s="44"/>
      <c r="F76" s="44"/>
      <c r="G76" s="44"/>
      <c r="H76" s="44"/>
      <c r="I76" s="46"/>
      <c r="J76" s="44"/>
      <c r="K76" s="60"/>
      <c r="L76" s="44"/>
      <c r="M76" s="44"/>
      <c r="N76" s="44"/>
      <c r="O76" s="44"/>
    </row>
    <row r="77" customFormat="false" ht="15" hidden="false" customHeight="false" outlineLevel="0" collapsed="false">
      <c r="A77" s="44"/>
      <c r="B77" s="45"/>
      <c r="C77" s="44"/>
      <c r="D77" s="44"/>
      <c r="E77" s="44"/>
      <c r="F77" s="44"/>
      <c r="G77" s="44"/>
      <c r="H77" s="44"/>
      <c r="I77" s="46"/>
      <c r="J77" s="44"/>
      <c r="K77" s="60"/>
      <c r="L77" s="44"/>
      <c r="M77" s="44"/>
      <c r="N77" s="44"/>
      <c r="O77" s="44"/>
    </row>
    <row r="78" customFormat="false" ht="15" hidden="false" customHeight="false" outlineLevel="0" collapsed="false">
      <c r="A78" s="44"/>
      <c r="B78" s="45"/>
      <c r="C78" s="44"/>
      <c r="D78" s="44"/>
      <c r="E78" s="44"/>
      <c r="F78" s="44"/>
      <c r="G78" s="44"/>
      <c r="H78" s="44"/>
      <c r="I78" s="46"/>
      <c r="J78" s="44"/>
      <c r="K78" s="60"/>
      <c r="L78" s="44"/>
      <c r="M78" s="44"/>
      <c r="N78" s="44"/>
      <c r="O78" s="44"/>
    </row>
    <row r="79" customFormat="false" ht="15" hidden="false" customHeight="false" outlineLevel="0" collapsed="false">
      <c r="A79" s="44"/>
      <c r="B79" s="45"/>
      <c r="C79" s="44"/>
      <c r="D79" s="44"/>
      <c r="E79" s="44"/>
      <c r="F79" s="44"/>
      <c r="G79" s="44"/>
      <c r="H79" s="44"/>
      <c r="I79" s="46"/>
      <c r="J79" s="44"/>
      <c r="K79" s="60"/>
      <c r="L79" s="44"/>
      <c r="M79" s="44"/>
      <c r="N79" s="44"/>
      <c r="O79" s="44"/>
    </row>
    <row r="80" customFormat="false" ht="15" hidden="false" customHeight="false" outlineLevel="0" collapsed="false">
      <c r="A80" s="44"/>
      <c r="B80" s="45"/>
      <c r="C80" s="44"/>
      <c r="D80" s="44"/>
      <c r="E80" s="44"/>
      <c r="F80" s="44"/>
      <c r="G80" s="44"/>
      <c r="H80" s="44"/>
      <c r="I80" s="46"/>
      <c r="J80" s="44"/>
      <c r="K80" s="60"/>
      <c r="L80" s="44"/>
      <c r="M80" s="44"/>
      <c r="N80" s="44"/>
      <c r="O80" s="44"/>
    </row>
    <row r="81" customFormat="false" ht="15" hidden="false" customHeight="false" outlineLevel="0" collapsed="false">
      <c r="A81" s="44"/>
      <c r="B81" s="45"/>
      <c r="C81" s="44"/>
      <c r="D81" s="44"/>
      <c r="E81" s="44"/>
      <c r="F81" s="44"/>
      <c r="G81" s="44"/>
      <c r="H81" s="44"/>
      <c r="I81" s="46"/>
      <c r="J81" s="44"/>
      <c r="K81" s="60"/>
      <c r="L81" s="44"/>
      <c r="M81" s="44"/>
      <c r="N81" s="44"/>
      <c r="O81" s="44"/>
    </row>
    <row r="82" customFormat="false" ht="15" hidden="false" customHeight="false" outlineLevel="0" collapsed="false">
      <c r="A82" s="44"/>
      <c r="B82" s="45"/>
      <c r="C82" s="44"/>
      <c r="D82" s="44"/>
      <c r="E82" s="44"/>
      <c r="F82" s="44"/>
      <c r="G82" s="44"/>
      <c r="H82" s="44"/>
      <c r="I82" s="46"/>
      <c r="J82" s="44"/>
      <c r="K82" s="60"/>
      <c r="L82" s="44"/>
      <c r="M82" s="44"/>
      <c r="N82" s="44"/>
      <c r="O82" s="44"/>
    </row>
    <row r="83" customFormat="false" ht="15" hidden="false" customHeight="false" outlineLevel="0" collapsed="false">
      <c r="A83" s="44"/>
      <c r="B83" s="45"/>
      <c r="C83" s="44"/>
      <c r="D83" s="44"/>
      <c r="E83" s="44"/>
      <c r="F83" s="44"/>
      <c r="G83" s="44"/>
      <c r="H83" s="44"/>
      <c r="I83" s="46"/>
      <c r="J83" s="44"/>
      <c r="K83" s="60"/>
      <c r="L83" s="44"/>
      <c r="M83" s="44"/>
      <c r="N83" s="44"/>
      <c r="O83" s="44"/>
    </row>
    <row r="84" customFormat="false" ht="15" hidden="false" customHeight="false" outlineLevel="0" collapsed="false">
      <c r="A84" s="44"/>
      <c r="B84" s="45"/>
      <c r="C84" s="44"/>
      <c r="D84" s="44"/>
      <c r="E84" s="44"/>
      <c r="F84" s="44"/>
      <c r="G84" s="44"/>
      <c r="H84" s="44"/>
      <c r="I84" s="46"/>
      <c r="J84" s="44"/>
      <c r="K84" s="60"/>
      <c r="L84" s="44"/>
      <c r="M84" s="44"/>
      <c r="N84" s="44"/>
      <c r="O84" s="44"/>
    </row>
    <row r="85" customFormat="false" ht="15" hidden="false" customHeight="false" outlineLevel="0" collapsed="false">
      <c r="A85" s="44"/>
      <c r="B85" s="45"/>
      <c r="C85" s="44"/>
      <c r="D85" s="44"/>
      <c r="E85" s="44"/>
      <c r="F85" s="44"/>
      <c r="G85" s="44"/>
      <c r="H85" s="44"/>
      <c r="I85" s="46"/>
      <c r="J85" s="44"/>
      <c r="K85" s="60"/>
      <c r="L85" s="44"/>
      <c r="M85" s="44"/>
      <c r="N85" s="44"/>
      <c r="O85" s="44"/>
    </row>
    <row r="86" customFormat="false" ht="15" hidden="false" customHeight="false" outlineLevel="0" collapsed="false">
      <c r="A86" s="44"/>
      <c r="B86" s="45"/>
      <c r="C86" s="44"/>
      <c r="D86" s="44"/>
      <c r="E86" s="44"/>
      <c r="F86" s="44"/>
      <c r="G86" s="44"/>
      <c r="H86" s="44"/>
      <c r="I86" s="46"/>
      <c r="J86" s="44"/>
      <c r="K86" s="60"/>
      <c r="L86" s="44"/>
      <c r="M86" s="44"/>
      <c r="N86" s="44"/>
      <c r="O86" s="44"/>
    </row>
    <row r="87" customFormat="false" ht="15" hidden="false" customHeight="false" outlineLevel="0" collapsed="false">
      <c r="A87" s="44"/>
      <c r="B87" s="45"/>
      <c r="C87" s="44"/>
      <c r="D87" s="44"/>
      <c r="E87" s="44"/>
      <c r="F87" s="44"/>
      <c r="G87" s="44"/>
      <c r="H87" s="44"/>
      <c r="I87" s="46"/>
      <c r="J87" s="44"/>
      <c r="K87" s="60"/>
      <c r="L87" s="44"/>
      <c r="M87" s="44"/>
      <c r="N87" s="44"/>
      <c r="O87" s="44"/>
    </row>
    <row r="88" customFormat="false" ht="15" hidden="false" customHeight="false" outlineLevel="0" collapsed="false">
      <c r="A88" s="44"/>
      <c r="B88" s="45"/>
      <c r="C88" s="44"/>
      <c r="D88" s="44"/>
      <c r="E88" s="44"/>
      <c r="F88" s="44"/>
      <c r="G88" s="44"/>
      <c r="H88" s="44"/>
      <c r="I88" s="46"/>
      <c r="J88" s="44"/>
      <c r="K88" s="60"/>
      <c r="L88" s="44"/>
      <c r="M88" s="44"/>
      <c r="N88" s="44"/>
      <c r="O88" s="44"/>
    </row>
    <row r="89" customFormat="false" ht="15" hidden="false" customHeight="false" outlineLevel="0" collapsed="false">
      <c r="A89" s="44"/>
      <c r="B89" s="45"/>
      <c r="C89" s="44"/>
      <c r="D89" s="44"/>
      <c r="E89" s="44"/>
      <c r="F89" s="44"/>
      <c r="G89" s="44"/>
      <c r="H89" s="44"/>
      <c r="I89" s="46"/>
      <c r="J89" s="44"/>
      <c r="K89" s="60"/>
      <c r="L89" s="44"/>
      <c r="M89" s="44"/>
      <c r="N89" s="44"/>
      <c r="O89" s="44"/>
    </row>
    <row r="90" customFormat="false" ht="15" hidden="false" customHeight="false" outlineLevel="0" collapsed="false">
      <c r="A90" s="44"/>
      <c r="B90" s="45"/>
      <c r="C90" s="44"/>
      <c r="D90" s="44"/>
      <c r="E90" s="44"/>
      <c r="F90" s="44"/>
      <c r="G90" s="44"/>
      <c r="H90" s="44"/>
      <c r="I90" s="46"/>
      <c r="J90" s="44"/>
      <c r="K90" s="60"/>
      <c r="L90" s="44"/>
      <c r="M90" s="44"/>
      <c r="N90" s="44"/>
      <c r="O90" s="44"/>
    </row>
    <row r="91" customFormat="false" ht="15" hidden="false" customHeight="false" outlineLevel="0" collapsed="false">
      <c r="A91" s="44"/>
      <c r="B91" s="45"/>
      <c r="C91" s="44"/>
      <c r="D91" s="44"/>
      <c r="E91" s="44"/>
      <c r="F91" s="44"/>
      <c r="G91" s="44"/>
      <c r="H91" s="44"/>
      <c r="I91" s="46"/>
      <c r="J91" s="44"/>
      <c r="K91" s="60"/>
      <c r="L91" s="44"/>
      <c r="M91" s="44"/>
      <c r="N91" s="44"/>
      <c r="O91" s="44"/>
    </row>
    <row r="92" customFormat="false" ht="15" hidden="false" customHeight="false" outlineLevel="0" collapsed="false">
      <c r="A92" s="44"/>
      <c r="B92" s="45"/>
      <c r="C92" s="44"/>
      <c r="D92" s="44"/>
      <c r="E92" s="44"/>
      <c r="F92" s="44"/>
      <c r="G92" s="44"/>
      <c r="H92" s="44"/>
      <c r="I92" s="46"/>
      <c r="J92" s="44"/>
      <c r="K92" s="60"/>
      <c r="L92" s="44"/>
      <c r="M92" s="44"/>
      <c r="N92" s="44"/>
      <c r="O92" s="44"/>
    </row>
    <row r="93" customFormat="false" ht="15" hidden="false" customHeight="false" outlineLevel="0" collapsed="false">
      <c r="A93" s="44"/>
      <c r="B93" s="45"/>
      <c r="C93" s="44"/>
      <c r="D93" s="44"/>
      <c r="E93" s="44"/>
      <c r="F93" s="44"/>
      <c r="G93" s="44"/>
      <c r="H93" s="44"/>
      <c r="I93" s="46"/>
      <c r="J93" s="44"/>
      <c r="K93" s="60"/>
      <c r="L93" s="44"/>
      <c r="M93" s="44"/>
      <c r="N93" s="44"/>
      <c r="O93" s="44"/>
    </row>
    <row r="94" customFormat="false" ht="15" hidden="false" customHeight="false" outlineLevel="0" collapsed="false">
      <c r="A94" s="44"/>
      <c r="B94" s="45"/>
      <c r="C94" s="44"/>
      <c r="D94" s="44"/>
      <c r="E94" s="44"/>
      <c r="F94" s="44"/>
      <c r="G94" s="44"/>
      <c r="H94" s="44"/>
      <c r="I94" s="46"/>
      <c r="J94" s="44"/>
      <c r="K94" s="60"/>
      <c r="L94" s="44"/>
      <c r="M94" s="44"/>
      <c r="N94" s="44"/>
      <c r="O94" s="44"/>
    </row>
    <row r="95" customFormat="false" ht="15" hidden="false" customHeight="false" outlineLevel="0" collapsed="false">
      <c r="A95" s="44"/>
      <c r="B95" s="45"/>
      <c r="C95" s="44"/>
      <c r="D95" s="44"/>
      <c r="E95" s="44"/>
      <c r="F95" s="44"/>
      <c r="G95" s="44"/>
      <c r="H95" s="44"/>
      <c r="I95" s="46"/>
      <c r="J95" s="44"/>
      <c r="K95" s="60"/>
      <c r="L95" s="44"/>
      <c r="M95" s="44"/>
      <c r="N95" s="44"/>
      <c r="O95" s="44"/>
    </row>
    <row r="96" customFormat="false" ht="15" hidden="false" customHeight="false" outlineLevel="0" collapsed="false">
      <c r="A96" s="44"/>
      <c r="B96" s="45"/>
      <c r="C96" s="44"/>
      <c r="D96" s="44"/>
      <c r="E96" s="44"/>
      <c r="F96" s="44"/>
      <c r="G96" s="44"/>
      <c r="H96" s="44"/>
      <c r="I96" s="46"/>
      <c r="J96" s="44"/>
      <c r="K96" s="60"/>
      <c r="L96" s="44"/>
      <c r="M96" s="44"/>
      <c r="N96" s="44"/>
      <c r="O96" s="44"/>
    </row>
    <row r="97" customFormat="false" ht="15" hidden="false" customHeight="false" outlineLevel="0" collapsed="false">
      <c r="A97" s="44"/>
      <c r="B97" s="45"/>
      <c r="C97" s="44"/>
      <c r="D97" s="44"/>
      <c r="E97" s="44"/>
      <c r="F97" s="44"/>
      <c r="G97" s="44"/>
      <c r="H97" s="44"/>
      <c r="I97" s="46"/>
      <c r="J97" s="44"/>
      <c r="K97" s="60"/>
      <c r="L97" s="44"/>
      <c r="M97" s="44"/>
      <c r="N97" s="44"/>
      <c r="O97" s="44"/>
    </row>
    <row r="98" customFormat="false" ht="15" hidden="false" customHeight="false" outlineLevel="0" collapsed="false">
      <c r="A98" s="44"/>
      <c r="B98" s="45"/>
      <c r="C98" s="44"/>
      <c r="D98" s="44"/>
      <c r="E98" s="44"/>
      <c r="F98" s="44"/>
      <c r="G98" s="44"/>
      <c r="H98" s="44"/>
      <c r="I98" s="46"/>
      <c r="J98" s="44"/>
      <c r="K98" s="60"/>
      <c r="L98" s="44"/>
      <c r="M98" s="44"/>
      <c r="N98" s="44"/>
      <c r="O98" s="44"/>
    </row>
    <row r="99" customFormat="false" ht="15" hidden="false" customHeight="false" outlineLevel="0" collapsed="false">
      <c r="A99" s="44"/>
      <c r="B99" s="45"/>
      <c r="C99" s="44"/>
      <c r="D99" s="44"/>
      <c r="E99" s="44"/>
      <c r="F99" s="44"/>
      <c r="G99" s="44"/>
      <c r="H99" s="44"/>
      <c r="I99" s="46"/>
      <c r="J99" s="44"/>
      <c r="K99" s="60"/>
      <c r="L99" s="44"/>
      <c r="M99" s="44"/>
      <c r="N99" s="44"/>
      <c r="O99" s="44"/>
    </row>
    <row r="100" customFormat="false" ht="15" hidden="false" customHeight="false" outlineLevel="0" collapsed="false">
      <c r="A100" s="44"/>
      <c r="B100" s="45"/>
      <c r="C100" s="44"/>
      <c r="D100" s="44"/>
      <c r="E100" s="44"/>
      <c r="F100" s="44"/>
      <c r="G100" s="44"/>
      <c r="H100" s="44"/>
      <c r="I100" s="46"/>
      <c r="J100" s="44"/>
      <c r="K100" s="60"/>
      <c r="L100" s="44"/>
      <c r="M100" s="44"/>
      <c r="N100" s="44"/>
      <c r="O100" s="44"/>
    </row>
    <row r="101" customFormat="false" ht="15" hidden="false" customHeight="false" outlineLevel="0" collapsed="false">
      <c r="A101" s="44"/>
      <c r="B101" s="45"/>
      <c r="C101" s="44"/>
      <c r="D101" s="44"/>
      <c r="E101" s="44"/>
      <c r="F101" s="44"/>
      <c r="G101" s="44"/>
      <c r="H101" s="44"/>
      <c r="I101" s="46"/>
      <c r="J101" s="44"/>
      <c r="K101" s="60"/>
      <c r="L101" s="44"/>
      <c r="M101" s="44"/>
      <c r="N101" s="44"/>
      <c r="O101" s="44"/>
    </row>
    <row r="102" customFormat="false" ht="15" hidden="false" customHeight="false" outlineLevel="0" collapsed="false">
      <c r="A102" s="44"/>
      <c r="B102" s="45"/>
      <c r="C102" s="44"/>
      <c r="D102" s="44"/>
      <c r="E102" s="44"/>
      <c r="F102" s="44"/>
      <c r="G102" s="44"/>
      <c r="H102" s="44"/>
      <c r="I102" s="46"/>
      <c r="J102" s="44"/>
      <c r="K102" s="60"/>
      <c r="L102" s="44"/>
      <c r="M102" s="44"/>
      <c r="N102" s="44"/>
      <c r="O102" s="44"/>
    </row>
    <row r="103" customFormat="false" ht="15" hidden="false" customHeight="false" outlineLevel="0" collapsed="false">
      <c r="A103" s="44"/>
      <c r="B103" s="45"/>
      <c r="C103" s="44"/>
      <c r="D103" s="44"/>
      <c r="E103" s="44"/>
      <c r="F103" s="44"/>
      <c r="G103" s="44"/>
      <c r="H103" s="44"/>
      <c r="I103" s="46"/>
      <c r="J103" s="44"/>
      <c r="K103" s="60"/>
      <c r="L103" s="44"/>
      <c r="M103" s="44"/>
      <c r="N103" s="44"/>
      <c r="O103" s="44"/>
    </row>
    <row r="104" customFormat="false" ht="15" hidden="false" customHeight="false" outlineLevel="0" collapsed="false">
      <c r="A104" s="44"/>
      <c r="B104" s="45"/>
      <c r="C104" s="44"/>
      <c r="D104" s="44"/>
      <c r="E104" s="44"/>
      <c r="F104" s="44"/>
      <c r="G104" s="44"/>
      <c r="H104" s="44"/>
      <c r="I104" s="46"/>
      <c r="J104" s="44"/>
      <c r="K104" s="60"/>
      <c r="L104" s="44"/>
      <c r="M104" s="44"/>
      <c r="N104" s="44"/>
      <c r="O104" s="44"/>
    </row>
    <row r="105" customFormat="false" ht="15" hidden="false" customHeight="false" outlineLevel="0" collapsed="false">
      <c r="A105" s="44"/>
      <c r="B105" s="45"/>
      <c r="C105" s="44"/>
      <c r="D105" s="44"/>
      <c r="E105" s="44"/>
      <c r="F105" s="44"/>
      <c r="G105" s="44"/>
      <c r="H105" s="44"/>
      <c r="I105" s="46"/>
      <c r="J105" s="44"/>
      <c r="K105" s="60"/>
      <c r="L105" s="44"/>
      <c r="M105" s="44"/>
      <c r="N105" s="44"/>
      <c r="O105" s="44"/>
    </row>
    <row r="106" customFormat="false" ht="15" hidden="false" customHeight="false" outlineLevel="0" collapsed="false">
      <c r="A106" s="44"/>
      <c r="B106" s="45"/>
      <c r="C106" s="44"/>
      <c r="D106" s="44"/>
      <c r="E106" s="44"/>
      <c r="F106" s="44"/>
      <c r="G106" s="44"/>
      <c r="H106" s="44"/>
      <c r="I106" s="46"/>
      <c r="J106" s="44"/>
      <c r="K106" s="60"/>
      <c r="L106" s="44"/>
      <c r="M106" s="44"/>
      <c r="N106" s="44"/>
      <c r="O106" s="44"/>
    </row>
    <row r="107" customFormat="false" ht="15" hidden="false" customHeight="false" outlineLevel="0" collapsed="false">
      <c r="A107" s="44"/>
      <c r="B107" s="45"/>
      <c r="C107" s="44"/>
      <c r="D107" s="44"/>
      <c r="E107" s="44"/>
      <c r="F107" s="44"/>
      <c r="G107" s="44"/>
      <c r="H107" s="44"/>
      <c r="I107" s="46"/>
      <c r="J107" s="44"/>
      <c r="K107" s="60"/>
      <c r="L107" s="44"/>
      <c r="M107" s="44"/>
      <c r="N107" s="44"/>
      <c r="O107" s="44"/>
    </row>
    <row r="108" customFormat="false" ht="15" hidden="false" customHeight="false" outlineLevel="0" collapsed="false">
      <c r="A108" s="44"/>
      <c r="B108" s="45"/>
      <c r="C108" s="44"/>
      <c r="D108" s="44"/>
      <c r="E108" s="44"/>
      <c r="F108" s="44"/>
      <c r="G108" s="44"/>
      <c r="H108" s="44"/>
      <c r="I108" s="46"/>
      <c r="J108" s="44"/>
      <c r="K108" s="60"/>
      <c r="L108" s="44"/>
      <c r="M108" s="44"/>
      <c r="N108" s="44"/>
      <c r="O108" s="44"/>
    </row>
    <row r="109" customFormat="false" ht="15" hidden="false" customHeight="false" outlineLevel="0" collapsed="false">
      <c r="A109" s="44"/>
      <c r="B109" s="45"/>
      <c r="C109" s="44"/>
      <c r="D109" s="44"/>
      <c r="E109" s="44"/>
      <c r="F109" s="44"/>
      <c r="G109" s="44"/>
      <c r="H109" s="44"/>
      <c r="I109" s="46"/>
      <c r="J109" s="44"/>
      <c r="K109" s="60"/>
      <c r="L109" s="44"/>
      <c r="M109" s="44"/>
      <c r="N109" s="44"/>
      <c r="O109" s="44"/>
    </row>
    <row r="110" customFormat="false" ht="15" hidden="false" customHeight="false" outlineLevel="0" collapsed="false">
      <c r="A110" s="44"/>
      <c r="B110" s="45"/>
      <c r="C110" s="44"/>
      <c r="D110" s="44"/>
      <c r="E110" s="44"/>
      <c r="F110" s="44"/>
      <c r="G110" s="44"/>
      <c r="H110" s="44"/>
      <c r="I110" s="46"/>
      <c r="J110" s="44"/>
      <c r="K110" s="60"/>
      <c r="L110" s="44"/>
      <c r="M110" s="44"/>
      <c r="N110" s="44"/>
      <c r="O110" s="44"/>
    </row>
    <row r="111" customFormat="false" ht="15" hidden="false" customHeight="false" outlineLevel="0" collapsed="false">
      <c r="A111" s="44"/>
      <c r="B111" s="45"/>
      <c r="C111" s="44"/>
      <c r="D111" s="44"/>
      <c r="E111" s="44"/>
      <c r="F111" s="44"/>
      <c r="G111" s="44"/>
      <c r="H111" s="44"/>
      <c r="I111" s="46"/>
      <c r="J111" s="44"/>
      <c r="K111" s="60"/>
      <c r="L111" s="44"/>
      <c r="M111" s="44"/>
      <c r="N111" s="44"/>
      <c r="O111" s="44"/>
    </row>
    <row r="112" customFormat="false" ht="15" hidden="false" customHeight="false" outlineLevel="0" collapsed="false">
      <c r="A112" s="44"/>
      <c r="B112" s="45"/>
      <c r="C112" s="44"/>
      <c r="D112" s="44"/>
      <c r="E112" s="44"/>
      <c r="F112" s="44"/>
      <c r="G112" s="44"/>
      <c r="H112" s="44"/>
      <c r="I112" s="46"/>
      <c r="J112" s="44"/>
      <c r="K112" s="60"/>
      <c r="L112" s="44"/>
      <c r="M112" s="44"/>
      <c r="N112" s="44"/>
      <c r="O112" s="44"/>
    </row>
    <row r="113" customFormat="false" ht="15" hidden="false" customHeight="false" outlineLevel="0" collapsed="false">
      <c r="A113" s="44"/>
      <c r="B113" s="45"/>
      <c r="C113" s="44"/>
      <c r="D113" s="44"/>
      <c r="E113" s="44"/>
      <c r="F113" s="44"/>
      <c r="G113" s="44"/>
      <c r="H113" s="44"/>
      <c r="I113" s="46"/>
      <c r="J113" s="44"/>
      <c r="K113" s="60"/>
      <c r="L113" s="44"/>
      <c r="M113" s="44"/>
      <c r="N113" s="44"/>
      <c r="O113" s="44"/>
    </row>
    <row r="114" customFormat="false" ht="15" hidden="false" customHeight="false" outlineLevel="0" collapsed="false">
      <c r="A114" s="44"/>
      <c r="B114" s="45"/>
      <c r="C114" s="44"/>
      <c r="D114" s="44"/>
      <c r="E114" s="44"/>
      <c r="F114" s="44"/>
      <c r="G114" s="44"/>
      <c r="H114" s="44"/>
      <c r="I114" s="46"/>
      <c r="J114" s="44"/>
      <c r="K114" s="60"/>
      <c r="L114" s="44"/>
      <c r="M114" s="44"/>
      <c r="N114" s="44"/>
      <c r="O114" s="44"/>
    </row>
    <row r="115" customFormat="false" ht="15" hidden="false" customHeight="false" outlineLevel="0" collapsed="false">
      <c r="A115" s="44"/>
      <c r="B115" s="45"/>
      <c r="C115" s="44"/>
      <c r="D115" s="44"/>
      <c r="E115" s="44"/>
      <c r="F115" s="44"/>
      <c r="G115" s="44"/>
      <c r="H115" s="44"/>
      <c r="I115" s="46"/>
      <c r="J115" s="44"/>
      <c r="K115" s="60"/>
      <c r="L115" s="44"/>
      <c r="M115" s="44"/>
      <c r="N115" s="44"/>
      <c r="O115" s="44"/>
    </row>
    <row r="116" customFormat="false" ht="15" hidden="false" customHeight="false" outlineLevel="0" collapsed="false">
      <c r="A116" s="44"/>
      <c r="B116" s="45"/>
      <c r="C116" s="44"/>
      <c r="D116" s="44"/>
      <c r="E116" s="44"/>
      <c r="F116" s="44"/>
      <c r="G116" s="44"/>
      <c r="H116" s="44"/>
      <c r="I116" s="46"/>
      <c r="J116" s="44"/>
      <c r="K116" s="60"/>
      <c r="L116" s="44"/>
      <c r="M116" s="44"/>
      <c r="N116" s="44"/>
      <c r="O116" s="44"/>
    </row>
    <row r="117" customFormat="false" ht="15" hidden="false" customHeight="false" outlineLevel="0" collapsed="false">
      <c r="A117" s="44"/>
      <c r="B117" s="45"/>
      <c r="C117" s="44"/>
      <c r="D117" s="44"/>
      <c r="E117" s="44"/>
      <c r="F117" s="44"/>
      <c r="G117" s="44"/>
      <c r="H117" s="44"/>
      <c r="I117" s="46"/>
      <c r="J117" s="44"/>
      <c r="K117" s="60"/>
      <c r="L117" s="44"/>
      <c r="M117" s="44"/>
      <c r="N117" s="44"/>
      <c r="O117" s="44"/>
    </row>
    <row r="118" customFormat="false" ht="15" hidden="false" customHeight="false" outlineLevel="0" collapsed="false">
      <c r="A118" s="44"/>
      <c r="B118" s="45"/>
      <c r="C118" s="44"/>
      <c r="D118" s="44"/>
      <c r="E118" s="44"/>
      <c r="F118" s="44"/>
      <c r="G118" s="44"/>
      <c r="H118" s="44"/>
      <c r="I118" s="46"/>
      <c r="J118" s="44"/>
      <c r="K118" s="60"/>
      <c r="L118" s="44"/>
      <c r="M118" s="44"/>
      <c r="N118" s="44"/>
      <c r="O118" s="44"/>
    </row>
    <row r="119" customFormat="false" ht="15" hidden="false" customHeight="false" outlineLevel="0" collapsed="false">
      <c r="A119" s="44"/>
      <c r="B119" s="45"/>
      <c r="C119" s="44"/>
      <c r="D119" s="44"/>
      <c r="E119" s="44"/>
      <c r="F119" s="44"/>
      <c r="G119" s="44"/>
      <c r="H119" s="44"/>
      <c r="I119" s="46"/>
      <c r="J119" s="44"/>
      <c r="K119" s="60"/>
      <c r="L119" s="44"/>
      <c r="M119" s="44"/>
      <c r="N119" s="44"/>
      <c r="O119" s="44"/>
    </row>
    <row r="120" customFormat="false" ht="15" hidden="false" customHeight="false" outlineLevel="0" collapsed="false">
      <c r="A120" s="44"/>
      <c r="B120" s="45"/>
      <c r="C120" s="44"/>
      <c r="D120" s="44"/>
      <c r="E120" s="44"/>
      <c r="F120" s="44"/>
      <c r="G120" s="44"/>
      <c r="H120" s="44"/>
      <c r="I120" s="46"/>
      <c r="J120" s="44"/>
      <c r="K120" s="60"/>
      <c r="L120" s="44"/>
      <c r="M120" s="44"/>
      <c r="N120" s="44"/>
      <c r="O120" s="44"/>
    </row>
    <row r="121" customFormat="false" ht="15" hidden="false" customHeight="false" outlineLevel="0" collapsed="false">
      <c r="A121" s="44"/>
      <c r="B121" s="45"/>
      <c r="C121" s="44"/>
      <c r="D121" s="44"/>
      <c r="E121" s="44"/>
      <c r="F121" s="44"/>
      <c r="G121" s="44"/>
      <c r="H121" s="44"/>
      <c r="I121" s="46"/>
      <c r="J121" s="44"/>
      <c r="K121" s="60"/>
      <c r="L121" s="44"/>
      <c r="M121" s="44"/>
      <c r="N121" s="44"/>
      <c r="O121" s="44"/>
    </row>
    <row r="122" customFormat="false" ht="15" hidden="false" customHeight="false" outlineLevel="0" collapsed="false">
      <c r="A122" s="44"/>
      <c r="B122" s="45"/>
      <c r="C122" s="44"/>
      <c r="D122" s="44"/>
      <c r="E122" s="44"/>
      <c r="F122" s="44"/>
      <c r="G122" s="44"/>
      <c r="H122" s="44"/>
      <c r="I122" s="46"/>
      <c r="J122" s="44"/>
      <c r="K122" s="60"/>
      <c r="L122" s="44"/>
      <c r="M122" s="44"/>
      <c r="N122" s="44"/>
      <c r="O122" s="44"/>
    </row>
    <row r="123" customFormat="false" ht="15" hidden="false" customHeight="false" outlineLevel="0" collapsed="false">
      <c r="A123" s="44"/>
      <c r="B123" s="45"/>
      <c r="C123" s="44"/>
      <c r="D123" s="44"/>
      <c r="E123" s="44"/>
      <c r="F123" s="44"/>
      <c r="G123" s="44"/>
      <c r="H123" s="44"/>
      <c r="I123" s="46"/>
      <c r="J123" s="44"/>
      <c r="K123" s="60"/>
      <c r="L123" s="44"/>
      <c r="M123" s="44"/>
      <c r="N123" s="44"/>
      <c r="O123" s="44"/>
    </row>
    <row r="124" customFormat="false" ht="15" hidden="false" customHeight="false" outlineLevel="0" collapsed="false">
      <c r="A124" s="44"/>
      <c r="B124" s="45"/>
      <c r="C124" s="44"/>
      <c r="D124" s="44"/>
      <c r="E124" s="44"/>
      <c r="F124" s="44"/>
      <c r="G124" s="44"/>
      <c r="H124" s="44"/>
      <c r="I124" s="46"/>
      <c r="J124" s="44"/>
      <c r="K124" s="60"/>
      <c r="L124" s="44"/>
      <c r="M124" s="44"/>
      <c r="N124" s="44"/>
      <c r="O124" s="44"/>
    </row>
    <row r="125" customFormat="false" ht="15" hidden="false" customHeight="false" outlineLevel="0" collapsed="false">
      <c r="A125" s="44"/>
      <c r="B125" s="45"/>
      <c r="C125" s="44"/>
      <c r="D125" s="44"/>
      <c r="E125" s="44"/>
      <c r="F125" s="44"/>
      <c r="G125" s="44"/>
      <c r="H125" s="44"/>
      <c r="I125" s="46"/>
      <c r="J125" s="44"/>
      <c r="K125" s="60"/>
      <c r="L125" s="44"/>
      <c r="M125" s="44"/>
      <c r="N125" s="44"/>
      <c r="O125" s="44"/>
    </row>
    <row r="126" customFormat="false" ht="15" hidden="false" customHeight="false" outlineLevel="0" collapsed="false">
      <c r="A126" s="44"/>
      <c r="B126" s="45"/>
      <c r="C126" s="44"/>
      <c r="D126" s="44"/>
      <c r="E126" s="44"/>
      <c r="F126" s="44"/>
      <c r="G126" s="44"/>
      <c r="H126" s="44"/>
      <c r="I126" s="46"/>
      <c r="J126" s="44"/>
      <c r="K126" s="60"/>
      <c r="L126" s="44"/>
      <c r="M126" s="44"/>
      <c r="N126" s="44"/>
      <c r="O126" s="44"/>
    </row>
    <row r="127" customFormat="false" ht="15" hidden="false" customHeight="false" outlineLevel="0" collapsed="false">
      <c r="A127" s="44"/>
      <c r="B127" s="45"/>
      <c r="C127" s="44"/>
      <c r="D127" s="44"/>
      <c r="E127" s="44"/>
      <c r="F127" s="44"/>
      <c r="G127" s="44"/>
      <c r="H127" s="44"/>
      <c r="I127" s="46"/>
      <c r="J127" s="44"/>
      <c r="K127" s="60"/>
      <c r="L127" s="44"/>
      <c r="M127" s="44"/>
      <c r="N127" s="44"/>
      <c r="O127" s="44"/>
    </row>
    <row r="128" customFormat="false" ht="15" hidden="false" customHeight="false" outlineLevel="0" collapsed="false">
      <c r="A128" s="44"/>
      <c r="B128" s="45"/>
      <c r="C128" s="44"/>
      <c r="D128" s="44"/>
      <c r="E128" s="44"/>
      <c r="F128" s="44"/>
      <c r="G128" s="44"/>
      <c r="H128" s="44"/>
      <c r="I128" s="46"/>
      <c r="J128" s="44"/>
      <c r="K128" s="60"/>
      <c r="L128" s="44"/>
      <c r="M128" s="44"/>
      <c r="N128" s="44"/>
      <c r="O128" s="44"/>
    </row>
    <row r="129" customFormat="false" ht="15" hidden="false" customHeight="false" outlineLevel="0" collapsed="false">
      <c r="A129" s="44"/>
      <c r="B129" s="45"/>
      <c r="C129" s="44"/>
      <c r="D129" s="44"/>
      <c r="E129" s="44"/>
      <c r="F129" s="44"/>
      <c r="G129" s="44"/>
      <c r="H129" s="44"/>
      <c r="I129" s="46"/>
      <c r="J129" s="44"/>
      <c r="K129" s="60"/>
      <c r="L129" s="44"/>
      <c r="M129" s="44"/>
      <c r="N129" s="44"/>
      <c r="O129" s="44"/>
    </row>
    <row r="130" customFormat="false" ht="15" hidden="false" customHeight="false" outlineLevel="0" collapsed="false">
      <c r="A130" s="44"/>
      <c r="B130" s="45"/>
      <c r="C130" s="44"/>
      <c r="D130" s="44"/>
      <c r="E130" s="44"/>
      <c r="F130" s="44"/>
      <c r="G130" s="44"/>
      <c r="H130" s="44"/>
      <c r="I130" s="46"/>
      <c r="J130" s="44"/>
      <c r="K130" s="60"/>
      <c r="L130" s="44"/>
      <c r="M130" s="44"/>
      <c r="N130" s="44"/>
      <c r="O130" s="44"/>
    </row>
    <row r="131" customFormat="false" ht="15" hidden="false" customHeight="false" outlineLevel="0" collapsed="false">
      <c r="A131" s="44"/>
      <c r="B131" s="45"/>
      <c r="C131" s="44"/>
      <c r="D131" s="44"/>
      <c r="E131" s="44"/>
      <c r="F131" s="44"/>
      <c r="G131" s="44"/>
      <c r="H131" s="44"/>
      <c r="I131" s="46"/>
      <c r="J131" s="44"/>
      <c r="K131" s="60"/>
      <c r="L131" s="44"/>
      <c r="M131" s="44"/>
      <c r="N131" s="44"/>
      <c r="O131" s="44"/>
    </row>
    <row r="132" customFormat="false" ht="15" hidden="false" customHeight="false" outlineLevel="0" collapsed="false">
      <c r="A132" s="44"/>
      <c r="B132" s="45"/>
      <c r="C132" s="44"/>
      <c r="D132" s="44"/>
      <c r="E132" s="44"/>
      <c r="F132" s="44"/>
      <c r="G132" s="44"/>
      <c r="H132" s="44"/>
      <c r="I132" s="46"/>
      <c r="J132" s="44"/>
      <c r="K132" s="60"/>
      <c r="L132" s="44"/>
      <c r="M132" s="44"/>
      <c r="N132" s="44"/>
      <c r="O132" s="44"/>
    </row>
    <row r="133" customFormat="false" ht="15" hidden="false" customHeight="false" outlineLevel="0" collapsed="false">
      <c r="A133" s="44"/>
      <c r="B133" s="45"/>
      <c r="C133" s="44"/>
      <c r="D133" s="44"/>
      <c r="E133" s="44"/>
      <c r="F133" s="44"/>
      <c r="G133" s="44"/>
      <c r="H133" s="44"/>
      <c r="I133" s="46"/>
      <c r="J133" s="44"/>
      <c r="K133" s="60"/>
      <c r="L133" s="44"/>
      <c r="M133" s="44"/>
      <c r="N133" s="44"/>
      <c r="O133" s="44"/>
    </row>
    <row r="134" customFormat="false" ht="15" hidden="false" customHeight="false" outlineLevel="0" collapsed="false">
      <c r="A134" s="44"/>
      <c r="B134" s="45"/>
      <c r="C134" s="44"/>
      <c r="D134" s="44"/>
      <c r="E134" s="44"/>
      <c r="F134" s="44"/>
      <c r="G134" s="44"/>
      <c r="H134" s="44"/>
      <c r="I134" s="46"/>
      <c r="J134" s="44"/>
      <c r="K134" s="60"/>
      <c r="L134" s="44"/>
      <c r="M134" s="44"/>
      <c r="N134" s="44"/>
      <c r="O134" s="44"/>
    </row>
    <row r="135" customFormat="false" ht="15" hidden="false" customHeight="false" outlineLevel="0" collapsed="false">
      <c r="A135" s="44"/>
      <c r="B135" s="45"/>
      <c r="C135" s="44"/>
      <c r="D135" s="44"/>
      <c r="E135" s="44"/>
      <c r="F135" s="44"/>
      <c r="G135" s="44"/>
      <c r="H135" s="44"/>
      <c r="I135" s="46"/>
      <c r="J135" s="44"/>
      <c r="K135" s="60"/>
      <c r="L135" s="44"/>
      <c r="M135" s="44"/>
      <c r="N135" s="44"/>
      <c r="O135" s="44"/>
    </row>
    <row r="136" customFormat="false" ht="15" hidden="false" customHeight="false" outlineLevel="0" collapsed="false">
      <c r="A136" s="44"/>
      <c r="B136" s="45"/>
      <c r="C136" s="44"/>
      <c r="D136" s="44"/>
      <c r="E136" s="44"/>
      <c r="F136" s="44"/>
      <c r="G136" s="44"/>
      <c r="H136" s="44"/>
      <c r="I136" s="46"/>
      <c r="J136" s="44"/>
      <c r="K136" s="60"/>
      <c r="L136" s="44"/>
      <c r="M136" s="44"/>
      <c r="N136" s="44"/>
      <c r="O136" s="44"/>
    </row>
    <row r="137" customFormat="false" ht="15" hidden="false" customHeight="false" outlineLevel="0" collapsed="false">
      <c r="A137" s="44"/>
      <c r="B137" s="45"/>
      <c r="C137" s="44"/>
      <c r="D137" s="44"/>
      <c r="E137" s="44"/>
      <c r="F137" s="44"/>
      <c r="G137" s="44"/>
      <c r="H137" s="44"/>
      <c r="I137" s="46"/>
      <c r="J137" s="44"/>
      <c r="K137" s="60"/>
      <c r="L137" s="44"/>
      <c r="M137" s="44"/>
      <c r="N137" s="44"/>
      <c r="O137" s="44"/>
    </row>
    <row r="138" customFormat="false" ht="15" hidden="false" customHeight="false" outlineLevel="0" collapsed="false">
      <c r="A138" s="44"/>
      <c r="B138" s="45"/>
      <c r="C138" s="44"/>
      <c r="D138" s="44"/>
      <c r="E138" s="44"/>
      <c r="F138" s="44"/>
      <c r="G138" s="44"/>
      <c r="H138" s="44"/>
      <c r="I138" s="46"/>
      <c r="J138" s="44"/>
      <c r="K138" s="60"/>
      <c r="L138" s="44"/>
      <c r="M138" s="44"/>
      <c r="N138" s="44"/>
      <c r="O138" s="44"/>
    </row>
    <row r="139" customFormat="false" ht="15" hidden="false" customHeight="false" outlineLevel="0" collapsed="false">
      <c r="A139" s="44"/>
      <c r="B139" s="45"/>
      <c r="C139" s="44"/>
      <c r="D139" s="44"/>
      <c r="E139" s="44"/>
      <c r="F139" s="44"/>
      <c r="G139" s="44"/>
      <c r="H139" s="44"/>
      <c r="I139" s="46"/>
      <c r="J139" s="44"/>
      <c r="K139" s="60"/>
      <c r="L139" s="44"/>
      <c r="M139" s="44"/>
      <c r="N139" s="44"/>
      <c r="O139" s="44"/>
    </row>
    <row r="140" customFormat="false" ht="15" hidden="false" customHeight="false" outlineLevel="0" collapsed="false">
      <c r="A140" s="44"/>
      <c r="B140" s="45"/>
      <c r="C140" s="44"/>
      <c r="D140" s="44"/>
      <c r="E140" s="44"/>
      <c r="F140" s="44"/>
      <c r="G140" s="44"/>
      <c r="H140" s="44"/>
      <c r="I140" s="46"/>
      <c r="J140" s="44"/>
      <c r="K140" s="60"/>
      <c r="L140" s="44"/>
      <c r="M140" s="44"/>
      <c r="N140" s="44"/>
      <c r="O140" s="44"/>
    </row>
    <row r="141" customFormat="false" ht="15" hidden="false" customHeight="false" outlineLevel="0" collapsed="false">
      <c r="A141" s="44"/>
      <c r="B141" s="45"/>
      <c r="C141" s="44"/>
      <c r="D141" s="44"/>
      <c r="E141" s="44"/>
      <c r="F141" s="44"/>
      <c r="G141" s="44"/>
      <c r="H141" s="44"/>
      <c r="I141" s="46"/>
      <c r="J141" s="44"/>
      <c r="K141" s="60"/>
      <c r="L141" s="44"/>
      <c r="M141" s="44"/>
      <c r="N141" s="44"/>
      <c r="O141" s="44"/>
    </row>
    <row r="142" customFormat="false" ht="15" hidden="false" customHeight="false" outlineLevel="0" collapsed="false">
      <c r="A142" s="44"/>
      <c r="B142" s="45"/>
      <c r="C142" s="44"/>
      <c r="D142" s="44"/>
      <c r="E142" s="44"/>
      <c r="F142" s="44"/>
      <c r="G142" s="44"/>
      <c r="H142" s="44"/>
      <c r="I142" s="46"/>
      <c r="J142" s="44"/>
      <c r="K142" s="60"/>
      <c r="L142" s="44"/>
      <c r="M142" s="44"/>
      <c r="N142" s="44"/>
      <c r="O142" s="44"/>
    </row>
    <row r="143" customFormat="false" ht="15" hidden="false" customHeight="false" outlineLevel="0" collapsed="false">
      <c r="A143" s="44"/>
      <c r="B143" s="45"/>
      <c r="C143" s="44"/>
      <c r="D143" s="44"/>
      <c r="E143" s="44"/>
      <c r="F143" s="44"/>
      <c r="G143" s="44"/>
      <c r="H143" s="44"/>
      <c r="I143" s="46"/>
      <c r="J143" s="44"/>
      <c r="K143" s="60"/>
      <c r="L143" s="44"/>
      <c r="M143" s="44"/>
      <c r="N143" s="44"/>
      <c r="O143" s="44"/>
    </row>
    <row r="144" customFormat="false" ht="15" hidden="false" customHeight="false" outlineLevel="0" collapsed="false">
      <c r="A144" s="44"/>
      <c r="B144" s="45"/>
      <c r="C144" s="44"/>
      <c r="D144" s="44"/>
      <c r="E144" s="44"/>
      <c r="F144" s="44"/>
      <c r="G144" s="44"/>
      <c r="H144" s="44"/>
      <c r="I144" s="46"/>
      <c r="J144" s="44"/>
      <c r="K144" s="60"/>
      <c r="L144" s="44"/>
      <c r="M144" s="44"/>
      <c r="N144" s="44"/>
      <c r="O144" s="44"/>
    </row>
    <row r="145" customFormat="false" ht="15" hidden="false" customHeight="false" outlineLevel="0" collapsed="false">
      <c r="A145" s="44"/>
      <c r="B145" s="45"/>
      <c r="C145" s="44"/>
      <c r="D145" s="44"/>
      <c r="E145" s="44"/>
      <c r="F145" s="44"/>
      <c r="G145" s="44"/>
      <c r="H145" s="44"/>
      <c r="I145" s="46"/>
      <c r="J145" s="44"/>
      <c r="K145" s="60"/>
      <c r="L145" s="44"/>
      <c r="M145" s="44"/>
      <c r="N145" s="44"/>
      <c r="O145" s="44"/>
    </row>
    <row r="146" customFormat="false" ht="15" hidden="false" customHeight="false" outlineLevel="0" collapsed="false">
      <c r="A146" s="44"/>
      <c r="B146" s="45"/>
      <c r="C146" s="44"/>
      <c r="D146" s="44"/>
      <c r="E146" s="44"/>
      <c r="F146" s="44"/>
      <c r="G146" s="44"/>
      <c r="H146" s="44"/>
      <c r="I146" s="46"/>
      <c r="J146" s="44"/>
      <c r="K146" s="60"/>
      <c r="L146" s="44"/>
      <c r="M146" s="44"/>
      <c r="N146" s="44"/>
      <c r="O146" s="44"/>
    </row>
    <row r="147" customFormat="false" ht="15" hidden="false" customHeight="false" outlineLevel="0" collapsed="false">
      <c r="A147" s="44"/>
      <c r="B147" s="45"/>
      <c r="C147" s="44"/>
      <c r="D147" s="44"/>
      <c r="E147" s="44"/>
      <c r="F147" s="44"/>
      <c r="G147" s="44"/>
      <c r="H147" s="44"/>
      <c r="I147" s="46"/>
      <c r="J147" s="44"/>
      <c r="K147" s="60"/>
      <c r="L147" s="44"/>
      <c r="M147" s="44"/>
      <c r="N147" s="44"/>
      <c r="O147" s="44"/>
    </row>
    <row r="148" customFormat="false" ht="15" hidden="false" customHeight="false" outlineLevel="0" collapsed="false">
      <c r="A148" s="44"/>
      <c r="B148" s="45"/>
      <c r="C148" s="44"/>
      <c r="D148" s="44"/>
      <c r="E148" s="44"/>
      <c r="F148" s="44"/>
      <c r="G148" s="44"/>
      <c r="H148" s="44"/>
      <c r="I148" s="46"/>
      <c r="J148" s="44"/>
      <c r="K148" s="60"/>
      <c r="L148" s="44"/>
      <c r="M148" s="44"/>
      <c r="N148" s="44"/>
      <c r="O148" s="44"/>
    </row>
    <row r="149" customFormat="false" ht="15" hidden="false" customHeight="false" outlineLevel="0" collapsed="false">
      <c r="A149" s="44"/>
      <c r="B149" s="45"/>
      <c r="C149" s="44"/>
      <c r="D149" s="44"/>
      <c r="E149" s="44"/>
      <c r="F149" s="44"/>
      <c r="G149" s="44"/>
      <c r="H149" s="44"/>
      <c r="I149" s="46"/>
      <c r="J149" s="44"/>
      <c r="K149" s="60"/>
      <c r="L149" s="44"/>
      <c r="M149" s="44"/>
      <c r="N149" s="44"/>
      <c r="O149" s="44"/>
    </row>
    <row r="150" customFormat="false" ht="15" hidden="false" customHeight="false" outlineLevel="0" collapsed="false">
      <c r="A150" s="44"/>
      <c r="B150" s="45"/>
      <c r="C150" s="44"/>
      <c r="D150" s="44"/>
      <c r="E150" s="44"/>
      <c r="F150" s="44"/>
      <c r="G150" s="44"/>
      <c r="H150" s="44"/>
      <c r="I150" s="46"/>
      <c r="J150" s="44"/>
      <c r="K150" s="60"/>
      <c r="L150" s="44"/>
      <c r="M150" s="44"/>
      <c r="N150" s="44"/>
      <c r="O150" s="44"/>
    </row>
    <row r="151" customFormat="false" ht="15" hidden="false" customHeight="false" outlineLevel="0" collapsed="false">
      <c r="A151" s="44"/>
      <c r="B151" s="45"/>
      <c r="C151" s="44"/>
      <c r="D151" s="44"/>
      <c r="E151" s="44"/>
      <c r="F151" s="44"/>
      <c r="G151" s="44"/>
      <c r="H151" s="44"/>
      <c r="I151" s="46"/>
      <c r="J151" s="44"/>
      <c r="K151" s="60"/>
      <c r="L151" s="44"/>
      <c r="M151" s="44"/>
      <c r="N151" s="44"/>
      <c r="O151" s="44"/>
    </row>
    <row r="152" customFormat="false" ht="15" hidden="false" customHeight="false" outlineLevel="0" collapsed="false">
      <c r="A152" s="44"/>
      <c r="B152" s="45"/>
      <c r="C152" s="44"/>
      <c r="D152" s="44"/>
      <c r="E152" s="44"/>
      <c r="F152" s="44"/>
      <c r="G152" s="44"/>
      <c r="H152" s="44"/>
      <c r="I152" s="46"/>
      <c r="J152" s="44"/>
      <c r="K152" s="60"/>
      <c r="L152" s="44"/>
      <c r="M152" s="44"/>
      <c r="N152" s="44"/>
      <c r="O152" s="44"/>
    </row>
    <row r="153" customFormat="false" ht="15" hidden="false" customHeight="false" outlineLevel="0" collapsed="false">
      <c r="A153" s="44"/>
      <c r="B153" s="45"/>
      <c r="C153" s="44"/>
      <c r="D153" s="44"/>
      <c r="E153" s="44"/>
      <c r="F153" s="44"/>
      <c r="G153" s="44"/>
      <c r="H153" s="44"/>
      <c r="I153" s="46"/>
      <c r="J153" s="44"/>
      <c r="K153" s="60"/>
      <c r="L153" s="44"/>
      <c r="M153" s="44"/>
      <c r="N153" s="44"/>
      <c r="O153" s="44"/>
    </row>
    <row r="154" customFormat="false" ht="15" hidden="false" customHeight="false" outlineLevel="0" collapsed="false">
      <c r="A154" s="44"/>
      <c r="B154" s="45"/>
      <c r="C154" s="44"/>
      <c r="D154" s="44"/>
      <c r="E154" s="44"/>
      <c r="F154" s="44"/>
      <c r="G154" s="44"/>
      <c r="H154" s="44"/>
      <c r="I154" s="46"/>
      <c r="J154" s="44"/>
      <c r="K154" s="60"/>
      <c r="L154" s="44"/>
      <c r="M154" s="44"/>
      <c r="N154" s="44"/>
      <c r="O154" s="44"/>
    </row>
    <row r="155" customFormat="false" ht="15" hidden="false" customHeight="false" outlineLevel="0" collapsed="false">
      <c r="A155" s="44"/>
      <c r="B155" s="45"/>
      <c r="C155" s="44"/>
      <c r="D155" s="44"/>
      <c r="E155" s="44"/>
      <c r="F155" s="44"/>
      <c r="G155" s="44"/>
      <c r="H155" s="44"/>
      <c r="I155" s="46"/>
      <c r="J155" s="44"/>
      <c r="K155" s="60"/>
      <c r="L155" s="44"/>
      <c r="M155" s="44"/>
      <c r="N155" s="44"/>
      <c r="O155" s="44"/>
    </row>
    <row r="156" customFormat="false" ht="15" hidden="false" customHeight="false" outlineLevel="0" collapsed="false">
      <c r="A156" s="44"/>
      <c r="B156" s="45"/>
      <c r="C156" s="44"/>
      <c r="D156" s="44"/>
      <c r="E156" s="44"/>
      <c r="F156" s="44"/>
      <c r="G156" s="44"/>
      <c r="H156" s="44"/>
      <c r="I156" s="46"/>
      <c r="J156" s="44"/>
      <c r="K156" s="60"/>
      <c r="L156" s="44"/>
      <c r="M156" s="44"/>
      <c r="N156" s="44"/>
      <c r="O156" s="44"/>
    </row>
    <row r="157" customFormat="false" ht="15" hidden="false" customHeight="false" outlineLevel="0" collapsed="false">
      <c r="A157" s="44"/>
      <c r="B157" s="45"/>
      <c r="C157" s="44"/>
      <c r="D157" s="44"/>
      <c r="E157" s="44"/>
      <c r="F157" s="44"/>
      <c r="G157" s="44"/>
      <c r="H157" s="44"/>
      <c r="I157" s="46"/>
      <c r="J157" s="44"/>
      <c r="K157" s="60"/>
      <c r="L157" s="44"/>
      <c r="M157" s="44"/>
      <c r="N157" s="44"/>
      <c r="O157" s="44"/>
    </row>
    <row r="158" customFormat="false" ht="15" hidden="false" customHeight="false" outlineLevel="0" collapsed="false">
      <c r="A158" s="44"/>
      <c r="B158" s="45"/>
      <c r="C158" s="44"/>
      <c r="D158" s="44"/>
      <c r="E158" s="44"/>
      <c r="F158" s="44"/>
      <c r="G158" s="44"/>
      <c r="H158" s="44"/>
      <c r="I158" s="46"/>
      <c r="J158" s="44"/>
      <c r="K158" s="60"/>
      <c r="L158" s="44"/>
      <c r="M158" s="44"/>
      <c r="N158" s="44"/>
      <c r="O158" s="44"/>
    </row>
    <row r="159" customFormat="false" ht="15" hidden="false" customHeight="false" outlineLevel="0" collapsed="false">
      <c r="A159" s="44"/>
      <c r="B159" s="45"/>
      <c r="C159" s="44"/>
      <c r="D159" s="44"/>
      <c r="E159" s="44"/>
      <c r="F159" s="44"/>
      <c r="G159" s="44"/>
      <c r="H159" s="44"/>
      <c r="I159" s="46"/>
      <c r="J159" s="44"/>
      <c r="K159" s="60"/>
      <c r="L159" s="44"/>
      <c r="M159" s="44"/>
      <c r="N159" s="44"/>
      <c r="O159" s="44"/>
    </row>
    <row r="160" customFormat="false" ht="15" hidden="false" customHeight="false" outlineLevel="0" collapsed="false">
      <c r="A160" s="44"/>
      <c r="B160" s="45"/>
      <c r="C160" s="44"/>
      <c r="D160" s="44"/>
      <c r="E160" s="44"/>
      <c r="F160" s="44"/>
      <c r="G160" s="44"/>
      <c r="H160" s="44"/>
      <c r="I160" s="46"/>
      <c r="J160" s="44"/>
      <c r="K160" s="60"/>
      <c r="L160" s="44"/>
      <c r="M160" s="44"/>
      <c r="N160" s="44"/>
      <c r="O160" s="44"/>
    </row>
    <row r="161" customFormat="false" ht="15" hidden="false" customHeight="false" outlineLevel="0" collapsed="false">
      <c r="A161" s="44"/>
      <c r="B161" s="45"/>
      <c r="C161" s="44"/>
      <c r="D161" s="44"/>
      <c r="E161" s="44"/>
      <c r="F161" s="44"/>
      <c r="G161" s="44"/>
      <c r="H161" s="44"/>
      <c r="I161" s="46"/>
      <c r="J161" s="44"/>
      <c r="K161" s="60"/>
      <c r="L161" s="44"/>
      <c r="M161" s="44"/>
      <c r="N161" s="44"/>
      <c r="O161" s="44"/>
    </row>
    <row r="162" customFormat="false" ht="15" hidden="false" customHeight="false" outlineLevel="0" collapsed="false">
      <c r="A162" s="44"/>
      <c r="B162" s="45"/>
      <c r="C162" s="44"/>
      <c r="D162" s="44"/>
      <c r="E162" s="44"/>
      <c r="F162" s="44"/>
      <c r="G162" s="44"/>
      <c r="H162" s="44"/>
      <c r="I162" s="46"/>
      <c r="J162" s="44"/>
      <c r="K162" s="60"/>
      <c r="L162" s="44"/>
      <c r="M162" s="44"/>
      <c r="N162" s="44"/>
      <c r="O162" s="44"/>
    </row>
    <row r="163" customFormat="false" ht="15" hidden="false" customHeight="false" outlineLevel="0" collapsed="false">
      <c r="A163" s="44"/>
      <c r="B163" s="45"/>
      <c r="C163" s="44"/>
      <c r="D163" s="44"/>
      <c r="E163" s="44"/>
      <c r="F163" s="44"/>
      <c r="G163" s="44"/>
      <c r="H163" s="44"/>
      <c r="I163" s="46"/>
      <c r="J163" s="44"/>
      <c r="K163" s="60"/>
      <c r="L163" s="44"/>
      <c r="M163" s="44"/>
      <c r="N163" s="44"/>
      <c r="O163" s="44"/>
    </row>
    <row r="164" customFormat="false" ht="15" hidden="false" customHeight="false" outlineLevel="0" collapsed="false">
      <c r="A164" s="44"/>
      <c r="B164" s="45"/>
      <c r="C164" s="44"/>
      <c r="D164" s="44"/>
      <c r="E164" s="44"/>
      <c r="F164" s="44"/>
      <c r="G164" s="44"/>
      <c r="H164" s="44"/>
      <c r="I164" s="46"/>
      <c r="J164" s="44"/>
      <c r="K164" s="60"/>
      <c r="L164" s="44"/>
      <c r="M164" s="44"/>
      <c r="N164" s="44"/>
      <c r="O164" s="44"/>
    </row>
    <row r="165" customFormat="false" ht="15" hidden="false" customHeight="false" outlineLevel="0" collapsed="false">
      <c r="A165" s="44"/>
      <c r="B165" s="45"/>
      <c r="C165" s="44"/>
      <c r="D165" s="44"/>
      <c r="E165" s="44"/>
      <c r="F165" s="44"/>
      <c r="G165" s="44"/>
      <c r="H165" s="44"/>
      <c r="I165" s="46"/>
      <c r="J165" s="44"/>
      <c r="K165" s="60"/>
      <c r="L165" s="44"/>
      <c r="M165" s="44"/>
      <c r="N165" s="44"/>
      <c r="O165" s="44"/>
    </row>
    <row r="166" customFormat="false" ht="15" hidden="false" customHeight="false" outlineLevel="0" collapsed="false">
      <c r="A166" s="44"/>
      <c r="B166" s="45"/>
      <c r="C166" s="44"/>
      <c r="D166" s="44"/>
      <c r="E166" s="44"/>
      <c r="F166" s="44"/>
      <c r="G166" s="44"/>
      <c r="H166" s="44"/>
      <c r="I166" s="46"/>
      <c r="J166" s="44"/>
      <c r="K166" s="60"/>
      <c r="L166" s="44"/>
      <c r="M166" s="44"/>
      <c r="N166" s="44"/>
      <c r="O166" s="44"/>
    </row>
    <row r="167" customFormat="false" ht="15" hidden="false" customHeight="false" outlineLevel="0" collapsed="false">
      <c r="A167" s="44"/>
      <c r="B167" s="45"/>
      <c r="C167" s="44"/>
      <c r="D167" s="44"/>
      <c r="E167" s="44"/>
      <c r="F167" s="44"/>
      <c r="G167" s="44"/>
      <c r="H167" s="44"/>
      <c r="I167" s="46"/>
      <c r="J167" s="44"/>
      <c r="K167" s="60"/>
      <c r="L167" s="44"/>
      <c r="M167" s="44"/>
      <c r="N167" s="44"/>
      <c r="O167" s="44"/>
    </row>
    <row r="168" customFormat="false" ht="15" hidden="false" customHeight="false" outlineLevel="0" collapsed="false">
      <c r="A168" s="44"/>
      <c r="B168" s="45"/>
      <c r="C168" s="44"/>
      <c r="D168" s="44"/>
      <c r="E168" s="44"/>
      <c r="F168" s="44"/>
      <c r="G168" s="44"/>
      <c r="H168" s="44"/>
      <c r="I168" s="46"/>
      <c r="J168" s="44"/>
      <c r="K168" s="60"/>
      <c r="L168" s="44"/>
      <c r="M168" s="44"/>
      <c r="N168" s="44"/>
      <c r="O168" s="44"/>
    </row>
    <row r="169" customFormat="false" ht="15" hidden="false" customHeight="false" outlineLevel="0" collapsed="false">
      <c r="A169" s="44"/>
      <c r="B169" s="45"/>
      <c r="C169" s="44"/>
      <c r="D169" s="44"/>
      <c r="E169" s="44"/>
      <c r="F169" s="44"/>
      <c r="G169" s="44"/>
      <c r="H169" s="44"/>
      <c r="I169" s="46"/>
      <c r="J169" s="44"/>
      <c r="K169" s="60"/>
      <c r="L169" s="44"/>
      <c r="M169" s="44"/>
      <c r="N169" s="44"/>
      <c r="O169" s="44"/>
    </row>
    <row r="170" customFormat="false" ht="15" hidden="false" customHeight="false" outlineLevel="0" collapsed="false">
      <c r="A170" s="44"/>
      <c r="B170" s="45"/>
      <c r="C170" s="44"/>
      <c r="D170" s="44"/>
      <c r="E170" s="44"/>
      <c r="F170" s="44"/>
      <c r="G170" s="44"/>
      <c r="H170" s="44"/>
      <c r="I170" s="46"/>
      <c r="J170" s="44"/>
      <c r="K170" s="60"/>
      <c r="L170" s="44"/>
      <c r="M170" s="44"/>
      <c r="N170" s="44"/>
      <c r="O170" s="44"/>
    </row>
    <row r="171" customFormat="false" ht="15" hidden="false" customHeight="false" outlineLevel="0" collapsed="false">
      <c r="A171" s="44"/>
      <c r="B171" s="45"/>
      <c r="C171" s="44"/>
      <c r="D171" s="44"/>
      <c r="E171" s="44"/>
      <c r="F171" s="44"/>
      <c r="G171" s="44"/>
      <c r="H171" s="44"/>
      <c r="I171" s="46"/>
      <c r="J171" s="44"/>
      <c r="K171" s="60"/>
      <c r="L171" s="44"/>
      <c r="M171" s="44"/>
      <c r="N171" s="44"/>
      <c r="O171" s="44"/>
    </row>
    <row r="172" customFormat="false" ht="15" hidden="false" customHeight="false" outlineLevel="0" collapsed="false">
      <c r="A172" s="44"/>
      <c r="B172" s="45"/>
      <c r="C172" s="44"/>
      <c r="D172" s="44"/>
      <c r="E172" s="44"/>
      <c r="F172" s="44"/>
      <c r="G172" s="44"/>
      <c r="H172" s="44"/>
      <c r="I172" s="46"/>
      <c r="J172" s="44"/>
      <c r="K172" s="60"/>
      <c r="L172" s="44"/>
      <c r="M172" s="44"/>
      <c r="N172" s="44"/>
      <c r="O172" s="44"/>
    </row>
    <row r="173" customFormat="false" ht="15" hidden="false" customHeight="false" outlineLevel="0" collapsed="false">
      <c r="A173" s="44"/>
      <c r="B173" s="45"/>
      <c r="C173" s="44"/>
      <c r="D173" s="44"/>
      <c r="E173" s="44"/>
      <c r="F173" s="44"/>
      <c r="G173" s="44"/>
      <c r="H173" s="44"/>
      <c r="I173" s="46"/>
      <c r="J173" s="44"/>
      <c r="K173" s="60"/>
      <c r="L173" s="44"/>
      <c r="M173" s="44"/>
      <c r="N173" s="44"/>
      <c r="O173" s="44"/>
    </row>
    <row r="174" customFormat="false" ht="15" hidden="false" customHeight="false" outlineLevel="0" collapsed="false">
      <c r="A174" s="44"/>
      <c r="B174" s="45"/>
      <c r="C174" s="44"/>
      <c r="D174" s="44"/>
      <c r="E174" s="44"/>
      <c r="F174" s="44"/>
      <c r="G174" s="44"/>
      <c r="H174" s="44"/>
      <c r="I174" s="46"/>
      <c r="J174" s="44"/>
      <c r="K174" s="60"/>
      <c r="L174" s="44"/>
      <c r="M174" s="44"/>
      <c r="N174" s="44"/>
      <c r="O174" s="44"/>
    </row>
    <row r="175" customFormat="false" ht="15" hidden="false" customHeight="false" outlineLevel="0" collapsed="false">
      <c r="A175" s="44"/>
      <c r="B175" s="45"/>
      <c r="C175" s="44"/>
      <c r="D175" s="44"/>
      <c r="E175" s="44"/>
      <c r="F175" s="44"/>
      <c r="G175" s="44"/>
      <c r="H175" s="44"/>
      <c r="I175" s="46"/>
      <c r="J175" s="44"/>
      <c r="K175" s="60"/>
      <c r="L175" s="44"/>
      <c r="M175" s="44"/>
      <c r="N175" s="44"/>
      <c r="O175" s="44"/>
    </row>
    <row r="176" customFormat="false" ht="15" hidden="false" customHeight="false" outlineLevel="0" collapsed="false">
      <c r="A176" s="44"/>
      <c r="B176" s="45"/>
      <c r="C176" s="44"/>
      <c r="D176" s="44"/>
      <c r="E176" s="44"/>
      <c r="F176" s="44"/>
      <c r="G176" s="44"/>
      <c r="H176" s="44"/>
      <c r="I176" s="46"/>
      <c r="J176" s="44"/>
      <c r="K176" s="60"/>
      <c r="L176" s="44"/>
      <c r="M176" s="44"/>
      <c r="N176" s="44"/>
      <c r="O176" s="44"/>
    </row>
    <row r="177" customFormat="false" ht="15" hidden="false" customHeight="false" outlineLevel="0" collapsed="false">
      <c r="A177" s="44"/>
      <c r="B177" s="45"/>
      <c r="C177" s="44"/>
      <c r="D177" s="44"/>
      <c r="E177" s="44"/>
      <c r="F177" s="44"/>
      <c r="G177" s="44"/>
      <c r="H177" s="44"/>
      <c r="I177" s="46"/>
      <c r="J177" s="44"/>
      <c r="K177" s="60"/>
      <c r="L177" s="44"/>
      <c r="M177" s="44"/>
      <c r="N177" s="44"/>
      <c r="O177" s="44"/>
    </row>
    <row r="178" customFormat="false" ht="15" hidden="false" customHeight="false" outlineLevel="0" collapsed="false">
      <c r="A178" s="44"/>
      <c r="B178" s="45"/>
      <c r="C178" s="44"/>
      <c r="D178" s="44"/>
      <c r="E178" s="44"/>
      <c r="F178" s="44"/>
      <c r="G178" s="44"/>
      <c r="H178" s="44"/>
      <c r="I178" s="46"/>
      <c r="J178" s="44"/>
      <c r="K178" s="60"/>
      <c r="L178" s="44"/>
      <c r="M178" s="44"/>
      <c r="N178" s="44"/>
      <c r="O178" s="44"/>
    </row>
    <row r="179" customFormat="false" ht="15" hidden="false" customHeight="false" outlineLevel="0" collapsed="false">
      <c r="A179" s="44"/>
      <c r="B179" s="45"/>
      <c r="C179" s="44"/>
      <c r="D179" s="44"/>
      <c r="E179" s="44"/>
      <c r="F179" s="44"/>
      <c r="G179" s="44"/>
      <c r="H179" s="44"/>
      <c r="I179" s="46"/>
      <c r="J179" s="44"/>
      <c r="K179" s="60"/>
      <c r="L179" s="44"/>
      <c r="M179" s="44"/>
      <c r="N179" s="44"/>
      <c r="O179" s="44"/>
    </row>
    <row r="180" customFormat="false" ht="15" hidden="false" customHeight="false" outlineLevel="0" collapsed="false">
      <c r="A180" s="44"/>
      <c r="B180" s="45"/>
      <c r="C180" s="44"/>
      <c r="D180" s="44"/>
      <c r="E180" s="44"/>
      <c r="F180" s="44"/>
      <c r="G180" s="44"/>
      <c r="H180" s="44"/>
      <c r="I180" s="46"/>
      <c r="J180" s="44"/>
      <c r="K180" s="60"/>
      <c r="L180" s="44"/>
      <c r="M180" s="44"/>
      <c r="N180" s="44"/>
      <c r="O180" s="44"/>
    </row>
    <row r="181" customFormat="false" ht="15" hidden="false" customHeight="false" outlineLevel="0" collapsed="false">
      <c r="A181" s="44"/>
      <c r="B181" s="45"/>
      <c r="C181" s="44"/>
      <c r="D181" s="44"/>
      <c r="E181" s="44"/>
      <c r="F181" s="44"/>
      <c r="G181" s="44"/>
      <c r="H181" s="44"/>
      <c r="I181" s="46"/>
      <c r="J181" s="44"/>
      <c r="K181" s="60"/>
      <c r="L181" s="44"/>
      <c r="M181" s="44"/>
      <c r="N181" s="44"/>
      <c r="O181" s="44"/>
    </row>
    <row r="182" customFormat="false" ht="15" hidden="false" customHeight="false" outlineLevel="0" collapsed="false">
      <c r="A182" s="44"/>
      <c r="B182" s="45"/>
      <c r="C182" s="44"/>
      <c r="D182" s="44"/>
      <c r="E182" s="44"/>
      <c r="F182" s="44"/>
      <c r="G182" s="44"/>
      <c r="H182" s="44"/>
      <c r="I182" s="46"/>
      <c r="J182" s="44"/>
      <c r="K182" s="60"/>
      <c r="L182" s="44"/>
      <c r="M182" s="44"/>
      <c r="N182" s="44"/>
      <c r="O182" s="44"/>
    </row>
    <row r="183" customFormat="false" ht="15" hidden="false" customHeight="false" outlineLevel="0" collapsed="false">
      <c r="A183" s="44"/>
      <c r="B183" s="45"/>
      <c r="C183" s="44"/>
      <c r="D183" s="44"/>
      <c r="E183" s="44"/>
      <c r="F183" s="44"/>
      <c r="G183" s="44"/>
      <c r="H183" s="44"/>
      <c r="I183" s="46"/>
      <c r="J183" s="44"/>
      <c r="K183" s="60"/>
      <c r="L183" s="44"/>
      <c r="M183" s="44"/>
      <c r="N183" s="44"/>
      <c r="O183" s="44"/>
    </row>
    <row r="184" customFormat="false" ht="15" hidden="false" customHeight="false" outlineLevel="0" collapsed="false">
      <c r="A184" s="44"/>
      <c r="B184" s="45"/>
      <c r="C184" s="44"/>
      <c r="D184" s="44"/>
      <c r="E184" s="44"/>
      <c r="F184" s="44"/>
      <c r="G184" s="44"/>
      <c r="H184" s="44"/>
      <c r="I184" s="46"/>
      <c r="J184" s="44"/>
      <c r="K184" s="60"/>
      <c r="L184" s="44"/>
      <c r="M184" s="44"/>
      <c r="N184" s="44"/>
      <c r="O184" s="44"/>
    </row>
    <row r="185" customFormat="false" ht="15" hidden="false" customHeight="false" outlineLevel="0" collapsed="false">
      <c r="A185" s="44"/>
      <c r="B185" s="45"/>
      <c r="C185" s="44"/>
      <c r="D185" s="44"/>
      <c r="E185" s="44"/>
      <c r="F185" s="44"/>
      <c r="G185" s="44"/>
      <c r="H185" s="44"/>
      <c r="I185" s="46"/>
      <c r="J185" s="44"/>
      <c r="K185" s="60"/>
      <c r="L185" s="44"/>
      <c r="M185" s="44"/>
      <c r="N185" s="44"/>
      <c r="O185" s="44"/>
    </row>
    <row r="186" customFormat="false" ht="15" hidden="false" customHeight="false" outlineLevel="0" collapsed="false">
      <c r="A186" s="44"/>
      <c r="B186" s="45"/>
      <c r="C186" s="44"/>
      <c r="D186" s="44"/>
      <c r="E186" s="44"/>
      <c r="F186" s="44"/>
      <c r="G186" s="44"/>
      <c r="H186" s="44"/>
      <c r="I186" s="46"/>
      <c r="J186" s="44"/>
      <c r="K186" s="60"/>
      <c r="L186" s="44"/>
      <c r="M186" s="44"/>
      <c r="N186" s="44"/>
      <c r="O186" s="44"/>
    </row>
    <row r="187" customFormat="false" ht="15" hidden="false" customHeight="false" outlineLevel="0" collapsed="false">
      <c r="A187" s="44"/>
      <c r="B187" s="45"/>
      <c r="C187" s="44"/>
      <c r="D187" s="44"/>
      <c r="E187" s="44"/>
      <c r="F187" s="44"/>
      <c r="G187" s="44"/>
      <c r="H187" s="44"/>
      <c r="I187" s="46"/>
      <c r="J187" s="44"/>
      <c r="K187" s="60"/>
      <c r="L187" s="44"/>
      <c r="M187" s="44"/>
      <c r="N187" s="44"/>
      <c r="O187" s="44"/>
    </row>
    <row r="188" customFormat="false" ht="15" hidden="false" customHeight="false" outlineLevel="0" collapsed="false">
      <c r="A188" s="44"/>
      <c r="B188" s="45"/>
      <c r="C188" s="44"/>
      <c r="D188" s="44"/>
      <c r="E188" s="44"/>
      <c r="F188" s="44"/>
      <c r="G188" s="44"/>
      <c r="H188" s="44"/>
      <c r="I188" s="46"/>
      <c r="J188" s="44"/>
      <c r="K188" s="60"/>
      <c r="L188" s="44"/>
      <c r="M188" s="44"/>
      <c r="N188" s="44"/>
      <c r="O188" s="44"/>
    </row>
    <row r="189" customFormat="false" ht="15" hidden="false" customHeight="false" outlineLevel="0" collapsed="false">
      <c r="A189" s="44"/>
      <c r="B189" s="45"/>
      <c r="C189" s="44"/>
      <c r="D189" s="44"/>
      <c r="E189" s="44"/>
      <c r="F189" s="44"/>
      <c r="G189" s="44"/>
      <c r="H189" s="44"/>
      <c r="I189" s="46"/>
      <c r="J189" s="44"/>
      <c r="K189" s="60"/>
      <c r="L189" s="44"/>
      <c r="M189" s="44"/>
      <c r="N189" s="44"/>
      <c r="O189" s="44"/>
    </row>
    <row r="190" customFormat="false" ht="15" hidden="false" customHeight="false" outlineLevel="0" collapsed="false">
      <c r="A190" s="44"/>
      <c r="B190" s="45"/>
      <c r="C190" s="44"/>
      <c r="D190" s="44"/>
      <c r="E190" s="44"/>
      <c r="F190" s="44"/>
      <c r="G190" s="44"/>
      <c r="H190" s="44"/>
      <c r="I190" s="46"/>
      <c r="J190" s="44"/>
      <c r="K190" s="60"/>
      <c r="L190" s="44"/>
      <c r="M190" s="44"/>
      <c r="N190" s="44"/>
      <c r="O190" s="44"/>
    </row>
    <row r="191" customFormat="false" ht="15" hidden="false" customHeight="false" outlineLevel="0" collapsed="false">
      <c r="A191" s="44"/>
      <c r="B191" s="45"/>
      <c r="C191" s="44"/>
      <c r="D191" s="44"/>
      <c r="E191" s="44"/>
      <c r="F191" s="44"/>
      <c r="G191" s="44"/>
      <c r="H191" s="44"/>
      <c r="I191" s="46"/>
      <c r="J191" s="44"/>
      <c r="K191" s="60"/>
      <c r="L191" s="44"/>
      <c r="M191" s="44"/>
      <c r="N191" s="44"/>
      <c r="O191" s="44"/>
    </row>
    <row r="192" customFormat="false" ht="15" hidden="false" customHeight="false" outlineLevel="0" collapsed="false">
      <c r="A192" s="44"/>
      <c r="B192" s="45"/>
      <c r="C192" s="44"/>
      <c r="D192" s="44"/>
      <c r="E192" s="44"/>
      <c r="F192" s="44"/>
      <c r="G192" s="44"/>
      <c r="H192" s="44"/>
      <c r="I192" s="46"/>
      <c r="J192" s="44"/>
      <c r="K192" s="60"/>
      <c r="L192" s="44"/>
      <c r="M192" s="44"/>
      <c r="N192" s="44"/>
      <c r="O192" s="44"/>
    </row>
    <row r="193" customFormat="false" ht="15" hidden="false" customHeight="false" outlineLevel="0" collapsed="false">
      <c r="A193" s="44"/>
      <c r="B193" s="45"/>
      <c r="C193" s="44"/>
      <c r="D193" s="44"/>
      <c r="E193" s="44"/>
      <c r="F193" s="44"/>
      <c r="G193" s="44"/>
      <c r="H193" s="44"/>
      <c r="I193" s="46"/>
      <c r="J193" s="44"/>
      <c r="K193" s="60"/>
      <c r="L193" s="44"/>
      <c r="M193" s="44"/>
      <c r="N193" s="44"/>
      <c r="O193" s="44"/>
    </row>
    <row r="194" customFormat="false" ht="15" hidden="false" customHeight="false" outlineLevel="0" collapsed="false">
      <c r="A194" s="44"/>
      <c r="B194" s="45"/>
      <c r="C194" s="44"/>
      <c r="D194" s="44"/>
      <c r="E194" s="44"/>
      <c r="F194" s="44"/>
      <c r="G194" s="44"/>
      <c r="H194" s="44"/>
      <c r="I194" s="46"/>
      <c r="J194" s="44"/>
      <c r="K194" s="60"/>
      <c r="L194" s="44"/>
      <c r="M194" s="44"/>
      <c r="N194" s="44"/>
      <c r="O194" s="44"/>
    </row>
    <row r="195" customFormat="false" ht="15" hidden="false" customHeight="false" outlineLevel="0" collapsed="false">
      <c r="A195" s="44"/>
      <c r="B195" s="45"/>
      <c r="C195" s="44"/>
      <c r="D195" s="44"/>
      <c r="E195" s="44"/>
      <c r="F195" s="44"/>
      <c r="G195" s="44"/>
      <c r="H195" s="44"/>
      <c r="I195" s="46"/>
      <c r="J195" s="44"/>
      <c r="K195" s="60"/>
      <c r="L195" s="44"/>
      <c r="M195" s="44"/>
      <c r="N195" s="44"/>
      <c r="O195" s="44"/>
    </row>
    <row r="196" customFormat="false" ht="15" hidden="false" customHeight="false" outlineLevel="0" collapsed="false">
      <c r="A196" s="44"/>
      <c r="B196" s="45"/>
      <c r="C196" s="44"/>
      <c r="D196" s="44"/>
      <c r="E196" s="44"/>
      <c r="F196" s="44"/>
      <c r="G196" s="44"/>
      <c r="H196" s="44"/>
      <c r="I196" s="46"/>
      <c r="J196" s="44"/>
      <c r="K196" s="60"/>
      <c r="L196" s="44"/>
      <c r="M196" s="44"/>
      <c r="N196" s="44"/>
      <c r="O196" s="44"/>
    </row>
    <row r="197" customFormat="false" ht="15" hidden="false" customHeight="false" outlineLevel="0" collapsed="false">
      <c r="A197" s="44"/>
      <c r="B197" s="45"/>
      <c r="C197" s="44"/>
      <c r="D197" s="44"/>
      <c r="E197" s="44"/>
      <c r="F197" s="44"/>
      <c r="G197" s="44"/>
      <c r="H197" s="44"/>
      <c r="I197" s="46"/>
      <c r="J197" s="44"/>
      <c r="K197" s="60"/>
      <c r="L197" s="44"/>
      <c r="M197" s="44"/>
      <c r="N197" s="44"/>
      <c r="O197" s="44"/>
    </row>
    <row r="198" customFormat="false" ht="15" hidden="false" customHeight="false" outlineLevel="0" collapsed="false">
      <c r="A198" s="44"/>
      <c r="B198" s="45"/>
      <c r="C198" s="44"/>
      <c r="D198" s="44"/>
      <c r="E198" s="44"/>
      <c r="F198" s="44"/>
      <c r="G198" s="44"/>
      <c r="H198" s="44"/>
      <c r="I198" s="46"/>
      <c r="J198" s="44"/>
      <c r="K198" s="60"/>
      <c r="L198" s="44"/>
      <c r="M198" s="44"/>
      <c r="N198" s="44"/>
      <c r="O198" s="44"/>
    </row>
    <row r="199" customFormat="false" ht="15" hidden="false" customHeight="false" outlineLevel="0" collapsed="false">
      <c r="A199" s="44"/>
      <c r="B199" s="45"/>
      <c r="C199" s="44"/>
      <c r="D199" s="44"/>
      <c r="E199" s="44"/>
      <c r="F199" s="44"/>
      <c r="G199" s="44"/>
      <c r="H199" s="44"/>
      <c r="I199" s="46"/>
      <c r="J199" s="44"/>
      <c r="K199" s="60"/>
      <c r="L199" s="44"/>
      <c r="M199" s="44"/>
      <c r="N199" s="44"/>
      <c r="O199" s="44"/>
    </row>
    <row r="200" customFormat="false" ht="15" hidden="false" customHeight="false" outlineLevel="0" collapsed="false">
      <c r="A200" s="44"/>
      <c r="B200" s="45"/>
      <c r="C200" s="44"/>
      <c r="D200" s="44"/>
      <c r="E200" s="44"/>
      <c r="F200" s="44"/>
      <c r="G200" s="44"/>
      <c r="H200" s="44"/>
      <c r="I200" s="46"/>
      <c r="J200" s="44"/>
      <c r="K200" s="60"/>
      <c r="L200" s="44"/>
      <c r="M200" s="44"/>
      <c r="N200" s="44"/>
      <c r="O200" s="44"/>
    </row>
    <row r="201" customFormat="false" ht="15" hidden="false" customHeight="false" outlineLevel="0" collapsed="false">
      <c r="A201" s="44"/>
      <c r="B201" s="45"/>
      <c r="C201" s="44"/>
      <c r="D201" s="44"/>
      <c r="E201" s="44"/>
      <c r="F201" s="44"/>
      <c r="G201" s="44"/>
      <c r="H201" s="44"/>
      <c r="I201" s="46"/>
      <c r="J201" s="44"/>
      <c r="K201" s="60"/>
      <c r="L201" s="44"/>
      <c r="M201" s="44"/>
      <c r="N201" s="44"/>
      <c r="O201" s="44"/>
    </row>
    <row r="202" customFormat="false" ht="15" hidden="false" customHeight="false" outlineLevel="0" collapsed="false">
      <c r="A202" s="44"/>
      <c r="B202" s="45"/>
      <c r="C202" s="44"/>
      <c r="D202" s="44"/>
      <c r="E202" s="44"/>
      <c r="F202" s="44"/>
      <c r="G202" s="44"/>
      <c r="H202" s="44"/>
      <c r="I202" s="46"/>
      <c r="J202" s="44"/>
      <c r="K202" s="60"/>
      <c r="L202" s="44"/>
      <c r="M202" s="44"/>
      <c r="N202" s="44"/>
      <c r="O202" s="44"/>
    </row>
    <row r="203" customFormat="false" ht="15" hidden="false" customHeight="false" outlineLevel="0" collapsed="false">
      <c r="A203" s="44"/>
      <c r="B203" s="45"/>
      <c r="C203" s="44"/>
      <c r="D203" s="44"/>
      <c r="E203" s="44"/>
      <c r="F203" s="44"/>
      <c r="G203" s="44"/>
      <c r="H203" s="44"/>
      <c r="I203" s="46"/>
      <c r="J203" s="44"/>
      <c r="K203" s="60"/>
      <c r="L203" s="44"/>
      <c r="M203" s="44"/>
      <c r="N203" s="44"/>
      <c r="O203" s="44"/>
    </row>
    <row r="204" customFormat="false" ht="15" hidden="false" customHeight="false" outlineLevel="0" collapsed="false">
      <c r="A204" s="44"/>
      <c r="B204" s="45"/>
      <c r="C204" s="44"/>
      <c r="D204" s="44"/>
      <c r="E204" s="44"/>
      <c r="F204" s="44"/>
      <c r="G204" s="44"/>
      <c r="H204" s="44"/>
      <c r="I204" s="46"/>
      <c r="J204" s="44"/>
      <c r="K204" s="60"/>
      <c r="L204" s="44"/>
      <c r="M204" s="44"/>
      <c r="N204" s="44"/>
      <c r="O204" s="44"/>
    </row>
    <row r="205" customFormat="false" ht="15" hidden="false" customHeight="false" outlineLevel="0" collapsed="false">
      <c r="A205" s="53"/>
      <c r="B205" s="54"/>
      <c r="C205" s="53"/>
      <c r="D205" s="53"/>
      <c r="E205" s="53"/>
      <c r="F205" s="53"/>
      <c r="G205" s="53"/>
      <c r="H205" s="53"/>
      <c r="I205" s="55"/>
      <c r="J205" s="53"/>
      <c r="K205" s="61"/>
      <c r="L205" s="53"/>
      <c r="M205" s="53"/>
      <c r="N205" s="53"/>
      <c r="O205" s="53"/>
    </row>
  </sheetData>
  <mergeCells count="3">
    <mergeCell ref="A1:O1"/>
    <mergeCell ref="A2:O2"/>
    <mergeCell ref="A4:O4"/>
  </mergeCells>
  <conditionalFormatting sqref="N6:N205">
    <cfRule type="containsText" priority="2" operator="containsText" aboveAverage="0" equalAverage="0" bottom="0" percent="0" rank="0" text="Yes" dxfId="9">
      <formula>NOT(ISERROR(SEARCH("Yes",N6)))</formula>
    </cfRule>
  </conditionalFormatting>
  <dataValidations count="4">
    <dataValidation allowBlank="false" errorStyle="stop" operator="between" showDropDown="false" showErrorMessage="false" showInputMessage="false" sqref="D6:D205" type="list">
      <formula1>"MES,MNQ,MGC,MCL"</formula1>
      <formula2>0</formula2>
    </dataValidation>
    <dataValidation allowBlank="false" errorStyle="stop" operator="between" showDropDown="false" showErrorMessage="false" showInputMessage="false" sqref="F6:F205" type="list">
      <formula1>"Structure,Auction,Volume Profile,TPO,DOM,Numbers Bars,Integrated Case"</formula1>
      <formula2>0</formula2>
    </dataValidation>
    <dataValidation allowBlank="false" errorStyle="stop" operator="between" showDropDown="false" showErrorMessage="false" showInputMessage="false" sqref="G6:G205" type="list">
      <formula1>"Balance,Transition,Imbalance,Trend,Unknown"</formula1>
      <formula2>0</formula2>
    </dataValidation>
    <dataValidation allowBlank="false" errorStyle="stop" operator="between" showDropDown="false" showErrorMessage="false" showInputMessage="false" sqref="N6:N205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30" activeCellId="0" sqref="D3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27"/>
    <col collapsed="false" customWidth="true" hidden="false" outlineLevel="0" max="5" min="5" style="1" width="12"/>
    <col collapsed="false" customWidth="true" hidden="false" outlineLevel="0" max="7" min="6" style="1" width="42"/>
    <col collapsed="false" customWidth="true" hidden="false" outlineLevel="0" max="8" min="8" style="1" width="38"/>
    <col collapsed="false" customWidth="true" hidden="false" outlineLevel="0" max="9" min="9" style="62" width="16"/>
    <col collapsed="false" customWidth="true" hidden="false" outlineLevel="0" max="16384" min="16383" style="1" width="11.53"/>
  </cols>
  <sheetData>
    <row r="1" customFormat="false" ht="32" hidden="false" customHeight="true" outlineLevel="0" collapsed="false">
      <c r="A1" s="2" t="s">
        <v>133</v>
      </c>
      <c r="B1" s="2" t="s">
        <v>133</v>
      </c>
      <c r="C1" s="2" t="s">
        <v>133</v>
      </c>
      <c r="D1" s="2" t="s">
        <v>133</v>
      </c>
      <c r="E1" s="2" t="s">
        <v>133</v>
      </c>
      <c r="F1" s="2" t="s">
        <v>133</v>
      </c>
      <c r="G1" s="2" t="s">
        <v>133</v>
      </c>
      <c r="H1" s="2" t="s">
        <v>133</v>
      </c>
      <c r="I1" s="2"/>
    </row>
    <row r="2" customFormat="false" ht="28" hidden="false" customHeight="true" outlineLevel="0" collapsed="false">
      <c r="A2" s="3" t="s">
        <v>134</v>
      </c>
      <c r="B2" s="3" t="s">
        <v>134</v>
      </c>
      <c r="C2" s="3" t="s">
        <v>134</v>
      </c>
      <c r="D2" s="3" t="s">
        <v>134</v>
      </c>
      <c r="E2" s="3" t="s">
        <v>134</v>
      </c>
      <c r="F2" s="3" t="s">
        <v>134</v>
      </c>
      <c r="G2" s="3" t="s">
        <v>134</v>
      </c>
      <c r="H2" s="3" t="s">
        <v>134</v>
      </c>
      <c r="I2" s="3"/>
    </row>
    <row r="4" customFormat="false" ht="15" hidden="false" customHeight="false" outlineLevel="0" collapsed="false">
      <c r="A4" s="63" t="s">
        <v>135</v>
      </c>
      <c r="B4" s="63" t="s">
        <v>136</v>
      </c>
      <c r="C4" s="63" t="s">
        <v>136</v>
      </c>
      <c r="D4" s="63" t="s">
        <v>136</v>
      </c>
      <c r="E4" s="63" t="s">
        <v>136</v>
      </c>
      <c r="F4" s="63" t="s">
        <v>136</v>
      </c>
      <c r="G4" s="63" t="s">
        <v>136</v>
      </c>
      <c r="H4" s="63" t="s">
        <v>136</v>
      </c>
      <c r="I4" s="63"/>
    </row>
    <row r="5" customFormat="false" ht="34" hidden="false" customHeight="true" outlineLevel="0" collapsed="false">
      <c r="A5" s="32" t="s">
        <v>137</v>
      </c>
      <c r="B5" s="33" t="s">
        <v>75</v>
      </c>
      <c r="C5" s="33" t="s">
        <v>77</v>
      </c>
      <c r="D5" s="33" t="s">
        <v>138</v>
      </c>
      <c r="E5" s="33" t="s">
        <v>139</v>
      </c>
      <c r="F5" s="33" t="s">
        <v>140</v>
      </c>
      <c r="G5" s="33" t="s">
        <v>141</v>
      </c>
      <c r="H5" s="34" t="s">
        <v>142</v>
      </c>
      <c r="I5" s="64" t="s">
        <v>143</v>
      </c>
    </row>
    <row r="6" customFormat="false" ht="44" hidden="false" customHeight="true" outlineLevel="0" collapsed="false">
      <c r="A6" s="65" t="s">
        <v>144</v>
      </c>
      <c r="B6" s="66" t="n">
        <v>46258</v>
      </c>
      <c r="C6" s="67" t="n">
        <v>1</v>
      </c>
      <c r="D6" s="68" t="s">
        <v>145</v>
      </c>
      <c r="E6" s="69" t="s">
        <v>146</v>
      </c>
      <c r="F6" s="69"/>
      <c r="G6" s="69"/>
      <c r="H6" s="44" t="s">
        <v>147</v>
      </c>
      <c r="I6" s="70"/>
    </row>
    <row r="7" customFormat="false" ht="15" hidden="false" customHeight="false" outlineLevel="0" collapsed="false">
      <c r="A7" s="44" t="s">
        <v>148</v>
      </c>
      <c r="B7" s="45" t="n">
        <v>46265</v>
      </c>
      <c r="C7" s="48" t="n">
        <v>1</v>
      </c>
      <c r="D7" s="1" t="s">
        <v>149</v>
      </c>
      <c r="E7" s="44" t="s">
        <v>150</v>
      </c>
      <c r="F7" s="44"/>
      <c r="G7" s="44"/>
      <c r="H7" s="44" t="s">
        <v>147</v>
      </c>
      <c r="I7" s="71" t="n">
        <v>60</v>
      </c>
    </row>
    <row r="8" customFormat="false" ht="15" hidden="false" customHeight="false" outlineLevel="0" collapsed="false">
      <c r="A8" s="44" t="s">
        <v>151</v>
      </c>
      <c r="B8" s="45" t="n">
        <v>46265</v>
      </c>
      <c r="C8" s="48" t="n">
        <v>1</v>
      </c>
      <c r="D8" s="44" t="s">
        <v>152</v>
      </c>
      <c r="E8" s="44" t="s">
        <v>150</v>
      </c>
      <c r="F8" s="44"/>
      <c r="G8" s="44"/>
      <c r="H8" s="44" t="s">
        <v>147</v>
      </c>
      <c r="I8" s="71" t="n">
        <v>60</v>
      </c>
    </row>
    <row r="9" customFormat="false" ht="15" hidden="false" customHeight="false" outlineLevel="0" collapsed="false">
      <c r="A9" s="44" t="s">
        <v>153</v>
      </c>
      <c r="B9" s="45" t="n">
        <v>46266</v>
      </c>
      <c r="C9" s="48" t="n">
        <v>1</v>
      </c>
      <c r="D9" s="44" t="s">
        <v>154</v>
      </c>
      <c r="E9" s="44" t="s">
        <v>150</v>
      </c>
      <c r="F9" s="44"/>
      <c r="G9" s="44"/>
      <c r="H9" s="44" t="s">
        <v>147</v>
      </c>
      <c r="I9" s="71" t="n">
        <v>60</v>
      </c>
    </row>
    <row r="10" customFormat="false" ht="15" hidden="false" customHeight="false" outlineLevel="0" collapsed="false">
      <c r="A10" s="44" t="s">
        <v>155</v>
      </c>
      <c r="B10" s="45" t="n">
        <v>46267</v>
      </c>
      <c r="C10" s="48" t="n">
        <v>1</v>
      </c>
      <c r="D10" s="44" t="s">
        <v>156</v>
      </c>
      <c r="E10" s="44" t="s">
        <v>150</v>
      </c>
      <c r="F10" s="44"/>
      <c r="G10" s="44"/>
      <c r="H10" s="62"/>
      <c r="I10" s="71" t="n">
        <v>60</v>
      </c>
    </row>
    <row r="11" customFormat="false" ht="15" hidden="false" customHeight="false" outlineLevel="0" collapsed="false">
      <c r="A11" s="44" t="s">
        <v>157</v>
      </c>
      <c r="B11" s="45" t="n">
        <v>46268</v>
      </c>
      <c r="C11" s="48" t="n">
        <v>1</v>
      </c>
      <c r="D11" s="44" t="s">
        <v>158</v>
      </c>
      <c r="E11" s="44" t="s">
        <v>150</v>
      </c>
      <c r="F11" s="44"/>
      <c r="G11" s="44"/>
      <c r="H11" s="44" t="s">
        <v>159</v>
      </c>
      <c r="I11" s="71" t="n">
        <v>60</v>
      </c>
    </row>
    <row r="12" customFormat="false" ht="15" hidden="false" customHeight="false" outlineLevel="0" collapsed="false">
      <c r="A12" s="44" t="s">
        <v>160</v>
      </c>
      <c r="B12" s="45" t="n">
        <v>46267</v>
      </c>
      <c r="C12" s="48" t="n">
        <v>1</v>
      </c>
      <c r="D12" s="44" t="s">
        <v>161</v>
      </c>
      <c r="E12" s="44" t="s">
        <v>150</v>
      </c>
      <c r="F12" s="44"/>
      <c r="G12" s="44"/>
      <c r="H12" s="44"/>
      <c r="I12" s="71" t="n">
        <v>60</v>
      </c>
    </row>
    <row r="13" customFormat="false" ht="15" hidden="false" customHeight="false" outlineLevel="0" collapsed="false">
      <c r="A13" s="44" t="s">
        <v>162</v>
      </c>
      <c r="B13" s="45" t="n">
        <v>46272</v>
      </c>
      <c r="C13" s="48" t="n">
        <v>1</v>
      </c>
      <c r="D13" s="44" t="s">
        <v>163</v>
      </c>
      <c r="E13" s="44" t="s">
        <v>150</v>
      </c>
      <c r="F13" s="44"/>
      <c r="G13" s="44"/>
      <c r="H13" s="44" t="s">
        <v>147</v>
      </c>
      <c r="I13" s="71" t="n">
        <v>120</v>
      </c>
    </row>
    <row r="14" customFormat="false" ht="15" hidden="false" customHeight="false" outlineLevel="0" collapsed="false">
      <c r="A14" s="44" t="s">
        <v>164</v>
      </c>
      <c r="B14" s="45" t="n">
        <v>46281</v>
      </c>
      <c r="C14" s="48" t="n">
        <v>2</v>
      </c>
      <c r="D14" s="44" t="s">
        <v>165</v>
      </c>
      <c r="E14" s="44" t="s">
        <v>166</v>
      </c>
      <c r="F14" s="44"/>
      <c r="G14" s="44"/>
      <c r="H14" s="44"/>
      <c r="I14" s="71" t="n">
        <v>60</v>
      </c>
    </row>
    <row r="15" customFormat="false" ht="15" hidden="false" customHeight="false" outlineLevel="0" collapsed="false">
      <c r="A15" s="44" t="s">
        <v>167</v>
      </c>
      <c r="B15" s="45" t="n">
        <v>46282</v>
      </c>
      <c r="C15" s="48" t="n">
        <v>2</v>
      </c>
      <c r="D15" s="44" t="s">
        <v>168</v>
      </c>
      <c r="E15" s="44" t="s">
        <v>146</v>
      </c>
      <c r="F15" s="44"/>
      <c r="G15" s="44"/>
      <c r="H15" s="44"/>
      <c r="I15" s="71" t="n">
        <v>30</v>
      </c>
    </row>
    <row r="16" customFormat="false" ht="15" hidden="false" customHeight="false" outlineLevel="0" collapsed="false">
      <c r="A16" s="44" t="s">
        <v>169</v>
      </c>
      <c r="B16" s="45" t="n">
        <v>46283</v>
      </c>
      <c r="C16" s="48" t="n">
        <v>2</v>
      </c>
      <c r="D16" s="44" t="s">
        <v>170</v>
      </c>
      <c r="E16" s="44" t="s">
        <v>146</v>
      </c>
      <c r="F16" s="44" t="s">
        <v>171</v>
      </c>
      <c r="G16" s="44"/>
      <c r="H16" s="44" t="s">
        <v>172</v>
      </c>
      <c r="I16" s="71" t="n">
        <v>60</v>
      </c>
    </row>
    <row r="17" customFormat="false" ht="15" hidden="false" customHeight="false" outlineLevel="0" collapsed="false">
      <c r="A17" s="44" t="s">
        <v>173</v>
      </c>
      <c r="B17" s="45" t="n">
        <v>46284</v>
      </c>
      <c r="C17" s="48" t="n">
        <v>2</v>
      </c>
      <c r="D17" s="44" t="s">
        <v>174</v>
      </c>
      <c r="E17" s="44" t="s">
        <v>146</v>
      </c>
      <c r="F17" s="44" t="s">
        <v>175</v>
      </c>
      <c r="G17" s="44"/>
      <c r="H17" s="44" t="s">
        <v>172</v>
      </c>
      <c r="I17" s="71" t="n">
        <v>30</v>
      </c>
    </row>
    <row r="18" customFormat="false" ht="15" hidden="false" customHeight="false" outlineLevel="0" collapsed="false">
      <c r="A18" s="44" t="s">
        <v>176</v>
      </c>
      <c r="B18" s="45" t="n">
        <v>46285</v>
      </c>
      <c r="C18" s="48" t="n">
        <v>2</v>
      </c>
      <c r="D18" s="44" t="s">
        <v>152</v>
      </c>
      <c r="E18" s="44" t="s">
        <v>146</v>
      </c>
      <c r="F18" s="44" t="s">
        <v>177</v>
      </c>
      <c r="G18" s="44"/>
      <c r="H18" s="44" t="s">
        <v>172</v>
      </c>
      <c r="I18" s="71" t="n">
        <v>60</v>
      </c>
    </row>
    <row r="19" customFormat="false" ht="15" hidden="false" customHeight="false" outlineLevel="0" collapsed="false">
      <c r="A19" s="44" t="s">
        <v>178</v>
      </c>
      <c r="B19" s="45" t="n">
        <v>46286</v>
      </c>
      <c r="C19" s="48" t="n">
        <v>2</v>
      </c>
      <c r="D19" s="44" t="s">
        <v>154</v>
      </c>
      <c r="E19" s="44" t="s">
        <v>146</v>
      </c>
      <c r="F19" s="44" t="s">
        <v>179</v>
      </c>
      <c r="G19" s="44"/>
      <c r="H19" s="44" t="s">
        <v>172</v>
      </c>
      <c r="I19" s="71" t="n">
        <v>90</v>
      </c>
    </row>
    <row r="20" customFormat="false" ht="15" hidden="false" customHeight="false" outlineLevel="0" collapsed="false">
      <c r="A20" s="44" t="s">
        <v>180</v>
      </c>
      <c r="B20" s="45" t="n">
        <v>46287</v>
      </c>
      <c r="C20" s="48" t="n">
        <v>2</v>
      </c>
      <c r="D20" s="44" t="s">
        <v>181</v>
      </c>
      <c r="E20" s="44" t="s">
        <v>146</v>
      </c>
      <c r="F20" s="44"/>
      <c r="G20" s="44"/>
      <c r="H20" s="44" t="s">
        <v>172</v>
      </c>
      <c r="I20" s="71" t="n">
        <v>60</v>
      </c>
    </row>
    <row r="21" customFormat="false" ht="15" hidden="false" customHeight="false" outlineLevel="0" collapsed="false">
      <c r="A21" s="44" t="s">
        <v>182</v>
      </c>
      <c r="B21" s="45" t="n">
        <v>46288</v>
      </c>
      <c r="C21" s="48" t="n">
        <v>2</v>
      </c>
      <c r="D21" s="44" t="s">
        <v>183</v>
      </c>
      <c r="E21" s="44" t="s">
        <v>150</v>
      </c>
      <c r="F21" s="44"/>
      <c r="G21" s="44"/>
      <c r="H21" s="44"/>
      <c r="I21" s="71" t="n">
        <v>40</v>
      </c>
    </row>
    <row r="22" customFormat="false" ht="15" hidden="false" customHeight="false" outlineLevel="0" collapsed="false">
      <c r="A22" s="44" t="s">
        <v>184</v>
      </c>
      <c r="B22" s="45" t="n">
        <v>46288</v>
      </c>
      <c r="C22" s="48" t="n">
        <v>2</v>
      </c>
      <c r="D22" s="44" t="s">
        <v>185</v>
      </c>
      <c r="E22" s="44" t="s">
        <v>146</v>
      </c>
      <c r="F22" s="44"/>
      <c r="G22" s="44"/>
      <c r="H22" s="44" t="s">
        <v>172</v>
      </c>
      <c r="I22" s="71" t="n">
        <v>30</v>
      </c>
    </row>
    <row r="23" customFormat="false" ht="15" hidden="false" customHeight="false" outlineLevel="0" collapsed="false">
      <c r="A23" s="44" t="s">
        <v>186</v>
      </c>
      <c r="B23" s="45" t="n">
        <v>46293</v>
      </c>
      <c r="C23" s="48" t="n">
        <v>3</v>
      </c>
      <c r="D23" s="44" t="s">
        <v>187</v>
      </c>
      <c r="E23" s="44" t="s">
        <v>146</v>
      </c>
      <c r="F23" s="44" t="s">
        <v>188</v>
      </c>
      <c r="G23" s="44"/>
      <c r="H23" s="44" t="s">
        <v>189</v>
      </c>
      <c r="I23" s="71" t="n">
        <v>60</v>
      </c>
    </row>
    <row r="24" customFormat="false" ht="15" hidden="false" customHeight="false" outlineLevel="0" collapsed="false">
      <c r="A24" s="44" t="s">
        <v>190</v>
      </c>
      <c r="B24" s="45" t="n">
        <v>46294</v>
      </c>
      <c r="C24" s="48" t="n">
        <v>3</v>
      </c>
      <c r="D24" s="44" t="s">
        <v>191</v>
      </c>
      <c r="E24" s="44" t="s">
        <v>146</v>
      </c>
      <c r="F24" s="44" t="s">
        <v>192</v>
      </c>
      <c r="G24" s="44"/>
      <c r="H24" s="44" t="s">
        <v>193</v>
      </c>
      <c r="I24" s="71" t="n">
        <v>60</v>
      </c>
    </row>
    <row r="25" customFormat="false" ht="15" hidden="false" customHeight="false" outlineLevel="0" collapsed="false">
      <c r="A25" s="44" t="s">
        <v>194</v>
      </c>
      <c r="B25" s="45" t="n">
        <v>46295</v>
      </c>
      <c r="C25" s="48" t="n">
        <v>3</v>
      </c>
      <c r="D25" s="44" t="s">
        <v>195</v>
      </c>
      <c r="E25" s="44" t="s">
        <v>146</v>
      </c>
      <c r="F25" s="44" t="s">
        <v>196</v>
      </c>
      <c r="G25" s="44"/>
      <c r="H25" s="44" t="s">
        <v>197</v>
      </c>
      <c r="I25" s="71" t="n">
        <v>60</v>
      </c>
    </row>
    <row r="26" customFormat="false" ht="15" hidden="false" customHeight="false" outlineLevel="0" collapsed="false">
      <c r="A26" s="44" t="s">
        <v>198</v>
      </c>
      <c r="B26" s="45" t="n">
        <v>46300</v>
      </c>
      <c r="C26" s="48" t="n">
        <v>3</v>
      </c>
      <c r="D26" s="44" t="s">
        <v>199</v>
      </c>
      <c r="E26" s="44" t="s">
        <v>146</v>
      </c>
      <c r="F26" s="44" t="s">
        <v>200</v>
      </c>
      <c r="G26" s="44"/>
      <c r="H26" s="44" t="s">
        <v>201</v>
      </c>
      <c r="I26" s="71" t="n">
        <v>30</v>
      </c>
    </row>
    <row r="27" customFormat="false" ht="15" hidden="false" customHeight="false" outlineLevel="0" collapsed="false">
      <c r="A27" s="44" t="s">
        <v>202</v>
      </c>
      <c r="B27" s="45" t="n">
        <v>46301</v>
      </c>
      <c r="C27" s="48" t="n">
        <v>3</v>
      </c>
      <c r="D27" s="44" t="s">
        <v>203</v>
      </c>
      <c r="E27" s="44" t="s">
        <v>146</v>
      </c>
      <c r="F27" s="44" t="s">
        <v>204</v>
      </c>
      <c r="G27" s="44"/>
      <c r="H27" s="44" t="s">
        <v>205</v>
      </c>
      <c r="I27" s="71" t="n">
        <v>60</v>
      </c>
    </row>
    <row r="28" customFormat="false" ht="15" hidden="false" customHeight="false" outlineLevel="0" collapsed="false">
      <c r="A28" s="44" t="s">
        <v>206</v>
      </c>
      <c r="B28" s="45" t="n">
        <v>46302</v>
      </c>
      <c r="C28" s="48" t="n">
        <v>3</v>
      </c>
      <c r="D28" s="44" t="s">
        <v>207</v>
      </c>
      <c r="E28" s="44" t="s">
        <v>208</v>
      </c>
      <c r="F28" s="44" t="s">
        <v>209</v>
      </c>
      <c r="G28" s="44"/>
      <c r="H28" s="44" t="s">
        <v>210</v>
      </c>
      <c r="I28" s="71" t="n">
        <v>30</v>
      </c>
    </row>
    <row r="29" customFormat="false" ht="15" hidden="false" customHeight="false" outlineLevel="0" collapsed="false">
      <c r="A29" s="44" t="s">
        <v>211</v>
      </c>
      <c r="B29" s="45" t="n">
        <v>46305</v>
      </c>
      <c r="C29" s="48" t="n">
        <v>3</v>
      </c>
      <c r="D29" s="44" t="s">
        <v>183</v>
      </c>
      <c r="E29" s="44" t="s">
        <v>146</v>
      </c>
      <c r="F29" s="44" t="s">
        <v>212</v>
      </c>
      <c r="G29" s="44"/>
      <c r="H29" s="44" t="s">
        <v>183</v>
      </c>
      <c r="I29" s="71" t="n">
        <v>60</v>
      </c>
    </row>
    <row r="30" customFormat="false" ht="15" hidden="false" customHeight="false" outlineLevel="0" collapsed="false">
      <c r="A30" s="44"/>
      <c r="B30" s="45"/>
      <c r="C30" s="48"/>
      <c r="D30" s="44"/>
      <c r="E30" s="44"/>
      <c r="F30" s="44"/>
      <c r="G30" s="44"/>
      <c r="H30" s="44"/>
      <c r="I30" s="71"/>
    </row>
    <row r="31" customFormat="false" ht="15" hidden="false" customHeight="false" outlineLevel="0" collapsed="false">
      <c r="A31" s="44"/>
      <c r="B31" s="45"/>
      <c r="C31" s="48"/>
      <c r="D31" s="44"/>
      <c r="E31" s="44"/>
      <c r="F31" s="44"/>
      <c r="G31" s="44"/>
      <c r="H31" s="44"/>
      <c r="I31" s="71"/>
    </row>
    <row r="32" customFormat="false" ht="15" hidden="false" customHeight="false" outlineLevel="0" collapsed="false">
      <c r="A32" s="44"/>
      <c r="B32" s="45"/>
      <c r="C32" s="48"/>
      <c r="D32" s="44"/>
      <c r="E32" s="44"/>
      <c r="F32" s="44"/>
      <c r="G32" s="44"/>
      <c r="H32" s="44"/>
      <c r="I32" s="71"/>
    </row>
    <row r="33" customFormat="false" ht="15" hidden="false" customHeight="false" outlineLevel="0" collapsed="false">
      <c r="A33" s="44"/>
      <c r="B33" s="45"/>
      <c r="C33" s="48"/>
      <c r="D33" s="44"/>
      <c r="E33" s="44"/>
      <c r="F33" s="44"/>
      <c r="G33" s="44"/>
      <c r="H33" s="44"/>
      <c r="I33" s="71"/>
    </row>
    <row r="34" customFormat="false" ht="15" hidden="false" customHeight="false" outlineLevel="0" collapsed="false">
      <c r="A34" s="44"/>
      <c r="B34" s="45"/>
      <c r="C34" s="48"/>
      <c r="D34" s="44"/>
      <c r="E34" s="44"/>
      <c r="F34" s="44"/>
      <c r="G34" s="44"/>
      <c r="H34" s="44"/>
      <c r="I34" s="71"/>
    </row>
    <row r="35" customFormat="false" ht="15" hidden="false" customHeight="false" outlineLevel="0" collapsed="false">
      <c r="A35" s="44"/>
      <c r="B35" s="45"/>
      <c r="C35" s="48"/>
      <c r="D35" s="44"/>
      <c r="E35" s="44"/>
      <c r="F35" s="44"/>
      <c r="G35" s="44"/>
      <c r="H35" s="44"/>
      <c r="I35" s="71"/>
    </row>
    <row r="36" customFormat="false" ht="15" hidden="false" customHeight="false" outlineLevel="0" collapsed="false">
      <c r="A36" s="44"/>
      <c r="B36" s="45"/>
      <c r="C36" s="48"/>
      <c r="D36" s="44"/>
      <c r="E36" s="44"/>
      <c r="F36" s="44"/>
      <c r="G36" s="44"/>
      <c r="H36" s="44"/>
      <c r="I36" s="71"/>
    </row>
    <row r="37" customFormat="false" ht="15" hidden="false" customHeight="false" outlineLevel="0" collapsed="false">
      <c r="A37" s="44"/>
      <c r="B37" s="45"/>
      <c r="C37" s="48"/>
      <c r="D37" s="44"/>
      <c r="E37" s="44"/>
      <c r="F37" s="44"/>
      <c r="G37" s="44"/>
      <c r="H37" s="44"/>
      <c r="I37" s="71"/>
    </row>
    <row r="38" customFormat="false" ht="15" hidden="false" customHeight="false" outlineLevel="0" collapsed="false">
      <c r="A38" s="44"/>
      <c r="B38" s="45"/>
      <c r="C38" s="48"/>
      <c r="D38" s="44"/>
      <c r="E38" s="44"/>
      <c r="F38" s="44"/>
      <c r="G38" s="44"/>
      <c r="H38" s="44"/>
      <c r="I38" s="71"/>
    </row>
    <row r="39" customFormat="false" ht="15" hidden="false" customHeight="false" outlineLevel="0" collapsed="false">
      <c r="A39" s="44"/>
      <c r="B39" s="45"/>
      <c r="C39" s="48"/>
      <c r="D39" s="44"/>
      <c r="E39" s="44"/>
      <c r="F39" s="44"/>
      <c r="G39" s="44"/>
      <c r="H39" s="44"/>
      <c r="I39" s="71"/>
    </row>
    <row r="40" customFormat="false" ht="15" hidden="false" customHeight="false" outlineLevel="0" collapsed="false">
      <c r="A40" s="44"/>
      <c r="B40" s="45"/>
      <c r="C40" s="48"/>
      <c r="D40" s="44"/>
      <c r="E40" s="44"/>
      <c r="F40" s="44"/>
      <c r="G40" s="44"/>
      <c r="H40" s="44"/>
      <c r="I40" s="71"/>
    </row>
    <row r="41" customFormat="false" ht="15" hidden="false" customHeight="false" outlineLevel="0" collapsed="false">
      <c r="A41" s="44"/>
      <c r="B41" s="45"/>
      <c r="C41" s="48"/>
      <c r="D41" s="44"/>
      <c r="E41" s="44"/>
      <c r="F41" s="44"/>
      <c r="G41" s="44"/>
      <c r="H41" s="44"/>
      <c r="I41" s="71"/>
    </row>
    <row r="42" customFormat="false" ht="15" hidden="false" customHeight="false" outlineLevel="0" collapsed="false">
      <c r="A42" s="44"/>
      <c r="B42" s="45"/>
      <c r="C42" s="48"/>
      <c r="D42" s="44"/>
      <c r="E42" s="44"/>
      <c r="F42" s="44"/>
      <c r="G42" s="44"/>
      <c r="H42" s="44"/>
      <c r="I42" s="71"/>
    </row>
    <row r="43" customFormat="false" ht="15" hidden="false" customHeight="false" outlineLevel="0" collapsed="false">
      <c r="A43" s="44"/>
      <c r="B43" s="45"/>
      <c r="C43" s="48"/>
      <c r="D43" s="44"/>
      <c r="E43" s="44"/>
      <c r="F43" s="44"/>
      <c r="G43" s="44"/>
      <c r="H43" s="44"/>
      <c r="I43" s="71"/>
    </row>
    <row r="44" customFormat="false" ht="15" hidden="false" customHeight="false" outlineLevel="0" collapsed="false">
      <c r="A44" s="44"/>
      <c r="B44" s="45"/>
      <c r="C44" s="48"/>
      <c r="D44" s="44"/>
      <c r="E44" s="44"/>
      <c r="F44" s="44"/>
      <c r="G44" s="44"/>
      <c r="H44" s="44"/>
      <c r="I44" s="71"/>
    </row>
    <row r="45" customFormat="false" ht="15" hidden="false" customHeight="false" outlineLevel="0" collapsed="false">
      <c r="A45" s="44"/>
      <c r="B45" s="45"/>
      <c r="C45" s="48"/>
      <c r="D45" s="44"/>
      <c r="E45" s="44"/>
      <c r="F45" s="44"/>
      <c r="G45" s="44"/>
      <c r="H45" s="44"/>
      <c r="I45" s="71"/>
    </row>
    <row r="46" customFormat="false" ht="15" hidden="false" customHeight="false" outlineLevel="0" collapsed="false">
      <c r="A46" s="44"/>
      <c r="B46" s="45"/>
      <c r="C46" s="48"/>
      <c r="D46" s="44"/>
      <c r="E46" s="44"/>
      <c r="F46" s="44"/>
      <c r="G46" s="44"/>
      <c r="H46" s="44"/>
      <c r="I46" s="71"/>
    </row>
    <row r="47" customFormat="false" ht="15" hidden="false" customHeight="false" outlineLevel="0" collapsed="false">
      <c r="A47" s="44"/>
      <c r="B47" s="45"/>
      <c r="C47" s="48"/>
      <c r="D47" s="44"/>
      <c r="E47" s="44"/>
      <c r="F47" s="44"/>
      <c r="G47" s="44"/>
      <c r="H47" s="44"/>
      <c r="I47" s="71"/>
    </row>
    <row r="48" customFormat="false" ht="15" hidden="false" customHeight="false" outlineLevel="0" collapsed="false">
      <c r="A48" s="44"/>
      <c r="B48" s="45"/>
      <c r="C48" s="48"/>
      <c r="D48" s="44"/>
      <c r="E48" s="44"/>
      <c r="F48" s="44"/>
      <c r="G48" s="44"/>
      <c r="H48" s="44"/>
      <c r="I48" s="71"/>
    </row>
    <row r="49" customFormat="false" ht="15" hidden="false" customHeight="false" outlineLevel="0" collapsed="false">
      <c r="A49" s="44"/>
      <c r="B49" s="45"/>
      <c r="C49" s="48"/>
      <c r="D49" s="44"/>
      <c r="E49" s="44"/>
      <c r="F49" s="44"/>
      <c r="G49" s="44"/>
      <c r="H49" s="44"/>
      <c r="I49" s="71"/>
    </row>
    <row r="50" customFormat="false" ht="15" hidden="false" customHeight="false" outlineLevel="0" collapsed="false">
      <c r="A50" s="44"/>
      <c r="B50" s="45"/>
      <c r="C50" s="48"/>
      <c r="D50" s="44"/>
      <c r="E50" s="44"/>
      <c r="F50" s="44"/>
      <c r="G50" s="44"/>
      <c r="H50" s="44"/>
      <c r="I50" s="71"/>
    </row>
    <row r="51" customFormat="false" ht="15" hidden="false" customHeight="false" outlineLevel="0" collapsed="false">
      <c r="A51" s="44"/>
      <c r="B51" s="45"/>
      <c r="C51" s="48"/>
      <c r="D51" s="44"/>
      <c r="E51" s="44"/>
      <c r="F51" s="44"/>
      <c r="G51" s="44"/>
      <c r="H51" s="44"/>
      <c r="I51" s="71"/>
    </row>
    <row r="52" customFormat="false" ht="15" hidden="false" customHeight="false" outlineLevel="0" collapsed="false">
      <c r="A52" s="44"/>
      <c r="B52" s="45"/>
      <c r="C52" s="48"/>
      <c r="D52" s="44"/>
      <c r="E52" s="44"/>
      <c r="F52" s="44"/>
      <c r="G52" s="44"/>
      <c r="H52" s="44"/>
      <c r="I52" s="71"/>
    </row>
    <row r="53" customFormat="false" ht="15" hidden="false" customHeight="false" outlineLevel="0" collapsed="false">
      <c r="A53" s="44"/>
      <c r="B53" s="45"/>
      <c r="C53" s="48"/>
      <c r="D53" s="44"/>
      <c r="E53" s="44"/>
      <c r="F53" s="44"/>
      <c r="G53" s="44"/>
      <c r="H53" s="44"/>
      <c r="I53" s="71"/>
    </row>
    <row r="54" customFormat="false" ht="15" hidden="false" customHeight="false" outlineLevel="0" collapsed="false">
      <c r="A54" s="44"/>
      <c r="B54" s="45"/>
      <c r="C54" s="48"/>
      <c r="D54" s="44"/>
      <c r="E54" s="44"/>
      <c r="F54" s="44"/>
      <c r="G54" s="44"/>
      <c r="H54" s="44"/>
      <c r="I54" s="71"/>
    </row>
    <row r="55" customFormat="false" ht="15" hidden="false" customHeight="false" outlineLevel="0" collapsed="false">
      <c r="A55" s="44"/>
      <c r="B55" s="45"/>
      <c r="C55" s="48"/>
      <c r="D55" s="44"/>
      <c r="E55" s="44"/>
      <c r="F55" s="44"/>
      <c r="G55" s="44"/>
      <c r="H55" s="44"/>
      <c r="I55" s="71"/>
    </row>
    <row r="56" customFormat="false" ht="15" hidden="false" customHeight="false" outlineLevel="0" collapsed="false">
      <c r="A56" s="44"/>
      <c r="B56" s="45"/>
      <c r="C56" s="48"/>
      <c r="D56" s="44"/>
      <c r="E56" s="44"/>
      <c r="F56" s="44"/>
      <c r="G56" s="44"/>
      <c r="H56" s="44"/>
      <c r="I56" s="71"/>
    </row>
    <row r="57" customFormat="false" ht="15" hidden="false" customHeight="false" outlineLevel="0" collapsed="false">
      <c r="A57" s="44"/>
      <c r="B57" s="45"/>
      <c r="C57" s="48"/>
      <c r="D57" s="44"/>
      <c r="E57" s="44"/>
      <c r="F57" s="44"/>
      <c r="G57" s="44"/>
      <c r="H57" s="44"/>
      <c r="I57" s="71"/>
    </row>
    <row r="58" customFormat="false" ht="15" hidden="false" customHeight="false" outlineLevel="0" collapsed="false">
      <c r="A58" s="44"/>
      <c r="B58" s="45"/>
      <c r="C58" s="48"/>
      <c r="D58" s="44"/>
      <c r="E58" s="44"/>
      <c r="F58" s="44"/>
      <c r="G58" s="44"/>
      <c r="H58" s="44"/>
      <c r="I58" s="71"/>
    </row>
    <row r="59" customFormat="false" ht="15" hidden="false" customHeight="false" outlineLevel="0" collapsed="false">
      <c r="A59" s="44"/>
      <c r="B59" s="45"/>
      <c r="C59" s="48"/>
      <c r="D59" s="44"/>
      <c r="E59" s="44"/>
      <c r="F59" s="44"/>
      <c r="G59" s="44"/>
      <c r="H59" s="44"/>
      <c r="I59" s="71"/>
    </row>
    <row r="60" customFormat="false" ht="15" hidden="false" customHeight="false" outlineLevel="0" collapsed="false">
      <c r="A60" s="44"/>
      <c r="B60" s="45"/>
      <c r="C60" s="48"/>
      <c r="D60" s="44"/>
      <c r="E60" s="44"/>
      <c r="F60" s="44"/>
      <c r="G60" s="44"/>
      <c r="H60" s="44"/>
      <c r="I60" s="71"/>
    </row>
    <row r="61" customFormat="false" ht="15" hidden="false" customHeight="false" outlineLevel="0" collapsed="false">
      <c r="A61" s="44"/>
      <c r="B61" s="45"/>
      <c r="C61" s="48"/>
      <c r="D61" s="44"/>
      <c r="E61" s="44"/>
      <c r="F61" s="44"/>
      <c r="G61" s="44"/>
      <c r="H61" s="44"/>
      <c r="I61" s="71"/>
    </row>
    <row r="62" customFormat="false" ht="15" hidden="false" customHeight="false" outlineLevel="0" collapsed="false">
      <c r="A62" s="44"/>
      <c r="B62" s="45"/>
      <c r="C62" s="48"/>
      <c r="D62" s="44"/>
      <c r="E62" s="44"/>
      <c r="F62" s="44"/>
      <c r="G62" s="44"/>
      <c r="H62" s="44"/>
      <c r="I62" s="71"/>
    </row>
    <row r="63" customFormat="false" ht="15" hidden="false" customHeight="false" outlineLevel="0" collapsed="false">
      <c r="A63" s="44"/>
      <c r="B63" s="45"/>
      <c r="C63" s="48"/>
      <c r="D63" s="44"/>
      <c r="E63" s="44"/>
      <c r="F63" s="44"/>
      <c r="G63" s="44"/>
      <c r="H63" s="44"/>
      <c r="I63" s="71"/>
    </row>
    <row r="64" customFormat="false" ht="15" hidden="false" customHeight="false" outlineLevel="0" collapsed="false">
      <c r="A64" s="44"/>
      <c r="B64" s="45"/>
      <c r="C64" s="48"/>
      <c r="D64" s="44"/>
      <c r="E64" s="44"/>
      <c r="F64" s="44"/>
      <c r="G64" s="44"/>
      <c r="H64" s="44"/>
      <c r="I64" s="71"/>
    </row>
    <row r="65" customFormat="false" ht="15" hidden="false" customHeight="false" outlineLevel="0" collapsed="false">
      <c r="A65" s="44"/>
      <c r="B65" s="45"/>
      <c r="C65" s="48"/>
      <c r="D65" s="44"/>
      <c r="E65" s="44"/>
      <c r="F65" s="44"/>
      <c r="G65" s="44"/>
      <c r="H65" s="44"/>
      <c r="I65" s="71"/>
    </row>
    <row r="66" customFormat="false" ht="15" hidden="false" customHeight="false" outlineLevel="0" collapsed="false">
      <c r="A66" s="44"/>
      <c r="B66" s="45"/>
      <c r="C66" s="48"/>
      <c r="D66" s="44"/>
      <c r="E66" s="44"/>
      <c r="F66" s="44"/>
      <c r="G66" s="44"/>
      <c r="H66" s="44"/>
      <c r="I66" s="71"/>
    </row>
    <row r="67" customFormat="false" ht="15" hidden="false" customHeight="false" outlineLevel="0" collapsed="false">
      <c r="A67" s="44"/>
      <c r="B67" s="45"/>
      <c r="C67" s="48"/>
      <c r="D67" s="44"/>
      <c r="E67" s="44"/>
      <c r="F67" s="44"/>
      <c r="G67" s="44"/>
      <c r="H67" s="44"/>
      <c r="I67" s="71"/>
    </row>
    <row r="68" customFormat="false" ht="15" hidden="false" customHeight="false" outlineLevel="0" collapsed="false">
      <c r="A68" s="44"/>
      <c r="B68" s="45"/>
      <c r="C68" s="48"/>
      <c r="D68" s="44"/>
      <c r="E68" s="44"/>
      <c r="F68" s="44"/>
      <c r="G68" s="44"/>
      <c r="H68" s="44"/>
      <c r="I68" s="71"/>
    </row>
    <row r="69" customFormat="false" ht="15" hidden="false" customHeight="false" outlineLevel="0" collapsed="false">
      <c r="A69" s="44"/>
      <c r="B69" s="45"/>
      <c r="C69" s="48"/>
      <c r="D69" s="44"/>
      <c r="E69" s="44"/>
      <c r="F69" s="44"/>
      <c r="G69" s="44"/>
      <c r="H69" s="44"/>
      <c r="I69" s="71"/>
    </row>
    <row r="70" customFormat="false" ht="15" hidden="false" customHeight="false" outlineLevel="0" collapsed="false">
      <c r="A70" s="44"/>
      <c r="B70" s="45"/>
      <c r="C70" s="48"/>
      <c r="D70" s="44"/>
      <c r="E70" s="44"/>
      <c r="F70" s="44"/>
      <c r="G70" s="44"/>
      <c r="H70" s="44"/>
      <c r="I70" s="71"/>
    </row>
    <row r="71" customFormat="false" ht="15" hidden="false" customHeight="false" outlineLevel="0" collapsed="false">
      <c r="A71" s="44"/>
      <c r="B71" s="45"/>
      <c r="C71" s="48"/>
      <c r="D71" s="44"/>
      <c r="E71" s="44"/>
      <c r="F71" s="44"/>
      <c r="G71" s="44"/>
      <c r="H71" s="44"/>
      <c r="I71" s="71"/>
    </row>
    <row r="72" customFormat="false" ht="15" hidden="false" customHeight="false" outlineLevel="0" collapsed="false">
      <c r="A72" s="44"/>
      <c r="B72" s="45"/>
      <c r="C72" s="48"/>
      <c r="D72" s="44"/>
      <c r="E72" s="44"/>
      <c r="F72" s="44"/>
      <c r="G72" s="44"/>
      <c r="H72" s="44"/>
      <c r="I72" s="71"/>
    </row>
    <row r="73" customFormat="false" ht="15" hidden="false" customHeight="false" outlineLevel="0" collapsed="false">
      <c r="A73" s="44"/>
      <c r="B73" s="45"/>
      <c r="C73" s="48"/>
      <c r="D73" s="44"/>
      <c r="E73" s="44"/>
      <c r="F73" s="44"/>
      <c r="G73" s="44"/>
      <c r="H73" s="44"/>
      <c r="I73" s="71"/>
    </row>
    <row r="74" customFormat="false" ht="15" hidden="false" customHeight="false" outlineLevel="0" collapsed="false">
      <c r="A74" s="44"/>
      <c r="B74" s="45"/>
      <c r="C74" s="48"/>
      <c r="D74" s="44"/>
      <c r="E74" s="44"/>
      <c r="F74" s="44"/>
      <c r="G74" s="44"/>
      <c r="H74" s="44"/>
      <c r="I74" s="71"/>
    </row>
    <row r="75" customFormat="false" ht="15" hidden="false" customHeight="false" outlineLevel="0" collapsed="false">
      <c r="A75" s="44"/>
      <c r="B75" s="45"/>
      <c r="C75" s="48"/>
      <c r="D75" s="44"/>
      <c r="E75" s="44"/>
      <c r="F75" s="44"/>
      <c r="G75" s="44"/>
      <c r="H75" s="44"/>
      <c r="I75" s="71"/>
    </row>
    <row r="76" customFormat="false" ht="15" hidden="false" customHeight="false" outlineLevel="0" collapsed="false">
      <c r="A76" s="44"/>
      <c r="B76" s="45"/>
      <c r="C76" s="48"/>
      <c r="D76" s="44"/>
      <c r="E76" s="44"/>
      <c r="F76" s="44"/>
      <c r="G76" s="44"/>
      <c r="H76" s="44"/>
      <c r="I76" s="71"/>
    </row>
    <row r="77" customFormat="false" ht="15" hidden="false" customHeight="false" outlineLevel="0" collapsed="false">
      <c r="A77" s="44"/>
      <c r="B77" s="45"/>
      <c r="C77" s="48"/>
      <c r="D77" s="44"/>
      <c r="E77" s="44"/>
      <c r="F77" s="44"/>
      <c r="G77" s="44"/>
      <c r="H77" s="44"/>
      <c r="I77" s="71"/>
    </row>
    <row r="78" customFormat="false" ht="15" hidden="false" customHeight="false" outlineLevel="0" collapsed="false">
      <c r="A78" s="44"/>
      <c r="B78" s="45"/>
      <c r="C78" s="48"/>
      <c r="D78" s="44"/>
      <c r="E78" s="44"/>
      <c r="F78" s="44"/>
      <c r="G78" s="44"/>
      <c r="H78" s="44"/>
      <c r="I78" s="71"/>
    </row>
    <row r="79" customFormat="false" ht="15" hidden="false" customHeight="false" outlineLevel="0" collapsed="false">
      <c r="A79" s="44"/>
      <c r="B79" s="45"/>
      <c r="C79" s="48"/>
      <c r="D79" s="44"/>
      <c r="E79" s="44"/>
      <c r="F79" s="44"/>
      <c r="G79" s="44"/>
      <c r="H79" s="44"/>
      <c r="I79" s="71"/>
    </row>
    <row r="80" customFormat="false" ht="15" hidden="false" customHeight="false" outlineLevel="0" collapsed="false">
      <c r="A80" s="44"/>
      <c r="B80" s="45"/>
      <c r="C80" s="48"/>
      <c r="D80" s="44"/>
      <c r="E80" s="44"/>
      <c r="F80" s="44"/>
      <c r="G80" s="44"/>
      <c r="H80" s="44"/>
      <c r="I80" s="71"/>
    </row>
    <row r="81" customFormat="false" ht="15" hidden="false" customHeight="false" outlineLevel="0" collapsed="false">
      <c r="A81" s="44"/>
      <c r="B81" s="45"/>
      <c r="C81" s="48"/>
      <c r="D81" s="44"/>
      <c r="E81" s="44"/>
      <c r="F81" s="44"/>
      <c r="G81" s="44"/>
      <c r="H81" s="44"/>
      <c r="I81" s="71"/>
    </row>
    <row r="82" customFormat="false" ht="15" hidden="false" customHeight="false" outlineLevel="0" collapsed="false">
      <c r="A82" s="44"/>
      <c r="B82" s="45"/>
      <c r="C82" s="48"/>
      <c r="D82" s="44"/>
      <c r="E82" s="44"/>
      <c r="F82" s="44"/>
      <c r="G82" s="44"/>
      <c r="H82" s="44"/>
      <c r="I82" s="71"/>
    </row>
    <row r="83" customFormat="false" ht="15" hidden="false" customHeight="false" outlineLevel="0" collapsed="false">
      <c r="A83" s="44"/>
      <c r="B83" s="45"/>
      <c r="C83" s="48"/>
      <c r="D83" s="44"/>
      <c r="E83" s="44"/>
      <c r="F83" s="44"/>
      <c r="G83" s="44"/>
      <c r="H83" s="44"/>
      <c r="I83" s="71"/>
    </row>
    <row r="84" customFormat="false" ht="15" hidden="false" customHeight="false" outlineLevel="0" collapsed="false">
      <c r="A84" s="44"/>
      <c r="B84" s="45"/>
      <c r="C84" s="48"/>
      <c r="D84" s="44"/>
      <c r="E84" s="44"/>
      <c r="F84" s="44"/>
      <c r="G84" s="44"/>
      <c r="H84" s="44"/>
      <c r="I84" s="71"/>
    </row>
    <row r="85" customFormat="false" ht="15" hidden="false" customHeight="false" outlineLevel="0" collapsed="false">
      <c r="A85" s="44"/>
      <c r="B85" s="45"/>
      <c r="C85" s="48"/>
      <c r="D85" s="44"/>
      <c r="E85" s="44"/>
      <c r="F85" s="44"/>
      <c r="G85" s="44"/>
      <c r="H85" s="44"/>
      <c r="I85" s="71"/>
    </row>
    <row r="86" customFormat="false" ht="15" hidden="false" customHeight="false" outlineLevel="0" collapsed="false">
      <c r="A86" s="44"/>
      <c r="B86" s="45"/>
      <c r="C86" s="48"/>
      <c r="D86" s="44"/>
      <c r="E86" s="44"/>
      <c r="F86" s="44"/>
      <c r="G86" s="44"/>
      <c r="H86" s="44"/>
      <c r="I86" s="71"/>
    </row>
    <row r="87" customFormat="false" ht="15" hidden="false" customHeight="false" outlineLevel="0" collapsed="false">
      <c r="A87" s="44"/>
      <c r="B87" s="45"/>
      <c r="C87" s="48"/>
      <c r="D87" s="44"/>
      <c r="E87" s="44"/>
      <c r="F87" s="44"/>
      <c r="G87" s="44"/>
      <c r="H87" s="44"/>
      <c r="I87" s="71"/>
    </row>
    <row r="88" customFormat="false" ht="15" hidden="false" customHeight="false" outlineLevel="0" collapsed="false">
      <c r="A88" s="44"/>
      <c r="B88" s="45"/>
      <c r="C88" s="48"/>
      <c r="D88" s="44"/>
      <c r="E88" s="44"/>
      <c r="F88" s="44"/>
      <c r="G88" s="44"/>
      <c r="H88" s="44"/>
      <c r="I88" s="71"/>
    </row>
    <row r="89" customFormat="false" ht="15" hidden="false" customHeight="false" outlineLevel="0" collapsed="false">
      <c r="A89" s="44"/>
      <c r="B89" s="45"/>
      <c r="C89" s="48"/>
      <c r="D89" s="44"/>
      <c r="E89" s="44"/>
      <c r="F89" s="44"/>
      <c r="G89" s="44"/>
      <c r="H89" s="44"/>
      <c r="I89" s="71"/>
    </row>
    <row r="90" customFormat="false" ht="15" hidden="false" customHeight="false" outlineLevel="0" collapsed="false">
      <c r="A90" s="44"/>
      <c r="B90" s="45"/>
      <c r="C90" s="48"/>
      <c r="D90" s="44"/>
      <c r="E90" s="44"/>
      <c r="F90" s="44"/>
      <c r="G90" s="44"/>
      <c r="H90" s="44"/>
      <c r="I90" s="71"/>
    </row>
    <row r="91" customFormat="false" ht="15" hidden="false" customHeight="false" outlineLevel="0" collapsed="false">
      <c r="A91" s="44"/>
      <c r="B91" s="45"/>
      <c r="C91" s="48"/>
      <c r="D91" s="44"/>
      <c r="E91" s="44"/>
      <c r="F91" s="44"/>
      <c r="G91" s="44"/>
      <c r="H91" s="44"/>
      <c r="I91" s="71"/>
    </row>
    <row r="92" customFormat="false" ht="15" hidden="false" customHeight="false" outlineLevel="0" collapsed="false">
      <c r="A92" s="44"/>
      <c r="B92" s="45"/>
      <c r="C92" s="48"/>
      <c r="D92" s="44"/>
      <c r="E92" s="44"/>
      <c r="F92" s="44"/>
      <c r="G92" s="44"/>
      <c r="H92" s="44"/>
      <c r="I92" s="71"/>
    </row>
    <row r="93" customFormat="false" ht="15" hidden="false" customHeight="false" outlineLevel="0" collapsed="false">
      <c r="A93" s="44"/>
      <c r="B93" s="45"/>
      <c r="C93" s="48"/>
      <c r="D93" s="44"/>
      <c r="E93" s="44"/>
      <c r="F93" s="44"/>
      <c r="G93" s="44"/>
      <c r="H93" s="44"/>
      <c r="I93" s="71"/>
    </row>
    <row r="94" customFormat="false" ht="15" hidden="false" customHeight="false" outlineLevel="0" collapsed="false">
      <c r="A94" s="44"/>
      <c r="B94" s="45"/>
      <c r="C94" s="48"/>
      <c r="D94" s="44"/>
      <c r="E94" s="44"/>
      <c r="F94" s="44"/>
      <c r="G94" s="44"/>
      <c r="H94" s="44"/>
      <c r="I94" s="71"/>
    </row>
    <row r="95" customFormat="false" ht="15" hidden="false" customHeight="false" outlineLevel="0" collapsed="false">
      <c r="A95" s="44"/>
      <c r="B95" s="45"/>
      <c r="C95" s="48"/>
      <c r="D95" s="44"/>
      <c r="E95" s="44"/>
      <c r="F95" s="44"/>
      <c r="G95" s="44"/>
      <c r="H95" s="44"/>
      <c r="I95" s="71"/>
    </row>
    <row r="96" customFormat="false" ht="15" hidden="false" customHeight="false" outlineLevel="0" collapsed="false">
      <c r="A96" s="44"/>
      <c r="B96" s="45"/>
      <c r="C96" s="48"/>
      <c r="D96" s="44"/>
      <c r="E96" s="44"/>
      <c r="F96" s="44"/>
      <c r="G96" s="44"/>
      <c r="H96" s="44"/>
      <c r="I96" s="71"/>
    </row>
    <row r="97" customFormat="false" ht="15" hidden="false" customHeight="false" outlineLevel="0" collapsed="false">
      <c r="A97" s="44"/>
      <c r="B97" s="45"/>
      <c r="C97" s="48"/>
      <c r="D97" s="44"/>
      <c r="E97" s="44"/>
      <c r="F97" s="44"/>
      <c r="G97" s="44"/>
      <c r="H97" s="44"/>
      <c r="I97" s="71"/>
    </row>
    <row r="98" customFormat="false" ht="15" hidden="false" customHeight="false" outlineLevel="0" collapsed="false">
      <c r="A98" s="44"/>
      <c r="B98" s="45"/>
      <c r="C98" s="48"/>
      <c r="D98" s="44"/>
      <c r="E98" s="44"/>
      <c r="F98" s="44"/>
      <c r="G98" s="44"/>
      <c r="H98" s="44"/>
      <c r="I98" s="71"/>
    </row>
    <row r="99" customFormat="false" ht="15" hidden="false" customHeight="false" outlineLevel="0" collapsed="false">
      <c r="A99" s="44"/>
      <c r="B99" s="45"/>
      <c r="C99" s="48"/>
      <c r="D99" s="44"/>
      <c r="E99" s="44"/>
      <c r="F99" s="44"/>
      <c r="G99" s="44"/>
      <c r="H99" s="44"/>
      <c r="I99" s="71"/>
    </row>
    <row r="100" customFormat="false" ht="15" hidden="false" customHeight="false" outlineLevel="0" collapsed="false">
      <c r="A100" s="44"/>
      <c r="B100" s="45"/>
      <c r="C100" s="48"/>
      <c r="D100" s="44"/>
      <c r="E100" s="44"/>
      <c r="F100" s="44"/>
      <c r="G100" s="44"/>
      <c r="H100" s="44"/>
      <c r="I100" s="71"/>
    </row>
    <row r="101" customFormat="false" ht="15" hidden="false" customHeight="false" outlineLevel="0" collapsed="false">
      <c r="A101" s="44"/>
      <c r="B101" s="45"/>
      <c r="C101" s="48"/>
      <c r="D101" s="44"/>
      <c r="E101" s="44"/>
      <c r="F101" s="44"/>
      <c r="G101" s="44"/>
      <c r="H101" s="44"/>
      <c r="I101" s="71"/>
    </row>
    <row r="102" customFormat="false" ht="15" hidden="false" customHeight="false" outlineLevel="0" collapsed="false">
      <c r="A102" s="44"/>
      <c r="B102" s="45"/>
      <c r="C102" s="48"/>
      <c r="D102" s="44"/>
      <c r="E102" s="44"/>
      <c r="F102" s="44"/>
      <c r="G102" s="44"/>
      <c r="H102" s="44"/>
      <c r="I102" s="71"/>
    </row>
    <row r="103" customFormat="false" ht="15" hidden="false" customHeight="false" outlineLevel="0" collapsed="false">
      <c r="A103" s="44"/>
      <c r="B103" s="45"/>
      <c r="C103" s="48"/>
      <c r="D103" s="44"/>
      <c r="E103" s="44"/>
      <c r="F103" s="44"/>
      <c r="G103" s="44"/>
      <c r="H103" s="44"/>
      <c r="I103" s="71"/>
    </row>
    <row r="104" customFormat="false" ht="15" hidden="false" customHeight="false" outlineLevel="0" collapsed="false">
      <c r="A104" s="44"/>
      <c r="B104" s="45"/>
      <c r="C104" s="48"/>
      <c r="D104" s="44"/>
      <c r="E104" s="44"/>
      <c r="F104" s="44"/>
      <c r="G104" s="44"/>
      <c r="H104" s="44"/>
      <c r="I104" s="71"/>
    </row>
    <row r="105" customFormat="false" ht="15" hidden="false" customHeight="false" outlineLevel="0" collapsed="false">
      <c r="A105" s="44"/>
      <c r="B105" s="45"/>
      <c r="C105" s="48"/>
      <c r="D105" s="44"/>
      <c r="E105" s="44"/>
      <c r="F105" s="44"/>
      <c r="G105" s="44"/>
      <c r="H105" s="44"/>
      <c r="I105" s="71"/>
    </row>
    <row r="106" customFormat="false" ht="15" hidden="false" customHeight="false" outlineLevel="0" collapsed="false">
      <c r="A106" s="44"/>
      <c r="B106" s="45"/>
      <c r="C106" s="48"/>
      <c r="D106" s="44"/>
      <c r="E106" s="44"/>
      <c r="F106" s="44"/>
      <c r="G106" s="44"/>
      <c r="H106" s="44"/>
      <c r="I106" s="71"/>
    </row>
    <row r="107" customFormat="false" ht="15" hidden="false" customHeight="false" outlineLevel="0" collapsed="false">
      <c r="A107" s="44"/>
      <c r="B107" s="45"/>
      <c r="C107" s="48"/>
      <c r="D107" s="44"/>
      <c r="E107" s="44"/>
      <c r="F107" s="44"/>
      <c r="G107" s="44"/>
      <c r="H107" s="44"/>
      <c r="I107" s="71"/>
    </row>
    <row r="108" customFormat="false" ht="15" hidden="false" customHeight="false" outlineLevel="0" collapsed="false">
      <c r="A108" s="44"/>
      <c r="B108" s="45"/>
      <c r="C108" s="48"/>
      <c r="D108" s="44"/>
      <c r="E108" s="44"/>
      <c r="F108" s="44"/>
      <c r="G108" s="44"/>
      <c r="H108" s="44"/>
      <c r="I108" s="71"/>
    </row>
    <row r="109" customFormat="false" ht="15" hidden="false" customHeight="false" outlineLevel="0" collapsed="false">
      <c r="A109" s="44"/>
      <c r="B109" s="45"/>
      <c r="C109" s="48"/>
      <c r="D109" s="44"/>
      <c r="E109" s="44"/>
      <c r="F109" s="44"/>
      <c r="G109" s="44"/>
      <c r="H109" s="44"/>
      <c r="I109" s="71"/>
    </row>
    <row r="110" customFormat="false" ht="15" hidden="false" customHeight="false" outlineLevel="0" collapsed="false">
      <c r="A110" s="44"/>
      <c r="B110" s="45"/>
      <c r="C110" s="48"/>
      <c r="D110" s="44"/>
      <c r="E110" s="44"/>
      <c r="F110" s="44"/>
      <c r="G110" s="44"/>
      <c r="H110" s="44"/>
      <c r="I110" s="71"/>
    </row>
    <row r="111" customFormat="false" ht="15" hidden="false" customHeight="false" outlineLevel="0" collapsed="false">
      <c r="A111" s="44"/>
      <c r="B111" s="45"/>
      <c r="C111" s="48"/>
      <c r="D111" s="44"/>
      <c r="E111" s="44"/>
      <c r="F111" s="44"/>
      <c r="G111" s="44"/>
      <c r="H111" s="44"/>
      <c r="I111" s="71"/>
    </row>
    <row r="112" customFormat="false" ht="15" hidden="false" customHeight="false" outlineLevel="0" collapsed="false">
      <c r="A112" s="44"/>
      <c r="B112" s="45"/>
      <c r="C112" s="48"/>
      <c r="D112" s="44"/>
      <c r="E112" s="44"/>
      <c r="F112" s="44"/>
      <c r="G112" s="44"/>
      <c r="H112" s="44"/>
      <c r="I112" s="71"/>
    </row>
    <row r="113" customFormat="false" ht="15" hidden="false" customHeight="false" outlineLevel="0" collapsed="false">
      <c r="A113" s="44"/>
      <c r="B113" s="45"/>
      <c r="C113" s="48"/>
      <c r="D113" s="44"/>
      <c r="E113" s="44"/>
      <c r="F113" s="44"/>
      <c r="G113" s="44"/>
      <c r="H113" s="44"/>
      <c r="I113" s="71"/>
    </row>
    <row r="114" customFormat="false" ht="15" hidden="false" customHeight="false" outlineLevel="0" collapsed="false">
      <c r="A114" s="44"/>
      <c r="B114" s="45"/>
      <c r="C114" s="48"/>
      <c r="D114" s="44"/>
      <c r="E114" s="44"/>
      <c r="F114" s="44"/>
      <c r="G114" s="44"/>
      <c r="H114" s="44"/>
      <c r="I114" s="71"/>
    </row>
    <row r="115" customFormat="false" ht="15" hidden="false" customHeight="false" outlineLevel="0" collapsed="false">
      <c r="A115" s="44"/>
      <c r="B115" s="45"/>
      <c r="C115" s="48"/>
      <c r="D115" s="44"/>
      <c r="E115" s="44"/>
      <c r="F115" s="44"/>
      <c r="G115" s="44"/>
      <c r="H115" s="44"/>
      <c r="I115" s="71"/>
    </row>
    <row r="116" customFormat="false" ht="15" hidden="false" customHeight="false" outlineLevel="0" collapsed="false">
      <c r="A116" s="44"/>
      <c r="B116" s="45"/>
      <c r="C116" s="48"/>
      <c r="D116" s="44"/>
      <c r="E116" s="44"/>
      <c r="F116" s="44"/>
      <c r="G116" s="44"/>
      <c r="H116" s="44"/>
      <c r="I116" s="71"/>
    </row>
    <row r="117" customFormat="false" ht="15" hidden="false" customHeight="false" outlineLevel="0" collapsed="false">
      <c r="A117" s="44"/>
      <c r="B117" s="45"/>
      <c r="C117" s="48"/>
      <c r="D117" s="44"/>
      <c r="E117" s="44"/>
      <c r="F117" s="44"/>
      <c r="G117" s="44"/>
      <c r="H117" s="44"/>
      <c r="I117" s="71"/>
    </row>
    <row r="118" customFormat="false" ht="15" hidden="false" customHeight="false" outlineLevel="0" collapsed="false">
      <c r="A118" s="44"/>
      <c r="B118" s="45"/>
      <c r="C118" s="48"/>
      <c r="D118" s="44"/>
      <c r="E118" s="44"/>
      <c r="F118" s="44"/>
      <c r="G118" s="44"/>
      <c r="H118" s="44"/>
      <c r="I118" s="71"/>
    </row>
    <row r="119" customFormat="false" ht="15" hidden="false" customHeight="false" outlineLevel="0" collapsed="false">
      <c r="A119" s="44"/>
      <c r="B119" s="45"/>
      <c r="C119" s="48"/>
      <c r="D119" s="44"/>
      <c r="E119" s="44"/>
      <c r="F119" s="44"/>
      <c r="G119" s="44"/>
      <c r="H119" s="44"/>
      <c r="I119" s="71"/>
    </row>
    <row r="120" customFormat="false" ht="15" hidden="false" customHeight="false" outlineLevel="0" collapsed="false">
      <c r="A120" s="44"/>
      <c r="B120" s="45"/>
      <c r="C120" s="48"/>
      <c r="D120" s="44"/>
      <c r="E120" s="44"/>
      <c r="F120" s="44"/>
      <c r="G120" s="44"/>
      <c r="H120" s="44"/>
      <c r="I120" s="71"/>
    </row>
    <row r="121" customFormat="false" ht="15" hidden="false" customHeight="false" outlineLevel="0" collapsed="false">
      <c r="A121" s="44"/>
      <c r="B121" s="45"/>
      <c r="C121" s="48"/>
      <c r="D121" s="44"/>
      <c r="E121" s="44"/>
      <c r="F121" s="44"/>
      <c r="G121" s="44"/>
      <c r="H121" s="44"/>
      <c r="I121" s="71"/>
    </row>
    <row r="122" customFormat="false" ht="15" hidden="false" customHeight="false" outlineLevel="0" collapsed="false">
      <c r="A122" s="44"/>
      <c r="B122" s="45"/>
      <c r="C122" s="48"/>
      <c r="D122" s="44"/>
      <c r="E122" s="44"/>
      <c r="F122" s="44"/>
      <c r="G122" s="44"/>
      <c r="H122" s="44"/>
      <c r="I122" s="71"/>
    </row>
    <row r="123" customFormat="false" ht="15" hidden="false" customHeight="false" outlineLevel="0" collapsed="false">
      <c r="A123" s="44"/>
      <c r="B123" s="45"/>
      <c r="C123" s="48"/>
      <c r="D123" s="44"/>
      <c r="E123" s="44"/>
      <c r="F123" s="44"/>
      <c r="G123" s="44"/>
      <c r="H123" s="44"/>
      <c r="I123" s="71"/>
    </row>
    <row r="124" customFormat="false" ht="15" hidden="false" customHeight="false" outlineLevel="0" collapsed="false">
      <c r="A124" s="44"/>
      <c r="B124" s="45"/>
      <c r="C124" s="48"/>
      <c r="D124" s="44"/>
      <c r="E124" s="44"/>
      <c r="F124" s="44"/>
      <c r="G124" s="44"/>
      <c r="H124" s="44"/>
      <c r="I124" s="71"/>
    </row>
    <row r="125" customFormat="false" ht="15" hidden="false" customHeight="false" outlineLevel="0" collapsed="false">
      <c r="A125" s="44"/>
      <c r="B125" s="45"/>
      <c r="C125" s="48"/>
      <c r="D125" s="44"/>
      <c r="E125" s="44"/>
      <c r="F125" s="44"/>
      <c r="G125" s="44"/>
      <c r="H125" s="44"/>
      <c r="I125" s="71"/>
    </row>
    <row r="126" customFormat="false" ht="15" hidden="false" customHeight="false" outlineLevel="0" collapsed="false">
      <c r="A126" s="44"/>
      <c r="B126" s="45"/>
      <c r="C126" s="48"/>
      <c r="D126" s="44"/>
      <c r="E126" s="44"/>
      <c r="F126" s="44"/>
      <c r="G126" s="44"/>
      <c r="H126" s="44"/>
      <c r="I126" s="71"/>
    </row>
    <row r="127" customFormat="false" ht="15" hidden="false" customHeight="false" outlineLevel="0" collapsed="false">
      <c r="A127" s="44"/>
      <c r="B127" s="45"/>
      <c r="C127" s="48"/>
      <c r="D127" s="44"/>
      <c r="E127" s="44"/>
      <c r="F127" s="44"/>
      <c r="G127" s="44"/>
      <c r="H127" s="44"/>
      <c r="I127" s="71"/>
    </row>
    <row r="128" customFormat="false" ht="15" hidden="false" customHeight="false" outlineLevel="0" collapsed="false">
      <c r="A128" s="44"/>
      <c r="B128" s="45"/>
      <c r="C128" s="48"/>
      <c r="D128" s="44"/>
      <c r="E128" s="44"/>
      <c r="F128" s="44"/>
      <c r="G128" s="44"/>
      <c r="H128" s="44"/>
      <c r="I128" s="71"/>
    </row>
    <row r="129" customFormat="false" ht="15" hidden="false" customHeight="false" outlineLevel="0" collapsed="false">
      <c r="A129" s="44"/>
      <c r="B129" s="45"/>
      <c r="C129" s="48"/>
      <c r="D129" s="44"/>
      <c r="E129" s="44"/>
      <c r="F129" s="44"/>
      <c r="G129" s="44"/>
      <c r="H129" s="44"/>
      <c r="I129" s="71"/>
    </row>
    <row r="130" customFormat="false" ht="15" hidden="false" customHeight="false" outlineLevel="0" collapsed="false">
      <c r="A130" s="44"/>
      <c r="B130" s="45"/>
      <c r="C130" s="48"/>
      <c r="D130" s="44"/>
      <c r="E130" s="44"/>
      <c r="F130" s="44"/>
      <c r="G130" s="44"/>
      <c r="H130" s="44"/>
      <c r="I130" s="71"/>
    </row>
    <row r="131" customFormat="false" ht="15" hidden="false" customHeight="false" outlineLevel="0" collapsed="false">
      <c r="A131" s="44"/>
      <c r="B131" s="45"/>
      <c r="C131" s="48"/>
      <c r="D131" s="44"/>
      <c r="E131" s="44"/>
      <c r="F131" s="44"/>
      <c r="G131" s="44"/>
      <c r="H131" s="44"/>
      <c r="I131" s="71"/>
    </row>
    <row r="132" customFormat="false" ht="15" hidden="false" customHeight="false" outlineLevel="0" collapsed="false">
      <c r="A132" s="44"/>
      <c r="B132" s="45"/>
      <c r="C132" s="48"/>
      <c r="D132" s="44"/>
      <c r="E132" s="44"/>
      <c r="F132" s="44"/>
      <c r="G132" s="44"/>
      <c r="H132" s="44"/>
      <c r="I132" s="71"/>
    </row>
    <row r="133" customFormat="false" ht="15" hidden="false" customHeight="false" outlineLevel="0" collapsed="false">
      <c r="A133" s="44"/>
      <c r="B133" s="45"/>
      <c r="C133" s="48"/>
      <c r="D133" s="44"/>
      <c r="E133" s="44"/>
      <c r="F133" s="44"/>
      <c r="G133" s="44"/>
      <c r="H133" s="44"/>
      <c r="I133" s="71"/>
    </row>
    <row r="134" customFormat="false" ht="15" hidden="false" customHeight="false" outlineLevel="0" collapsed="false">
      <c r="A134" s="44"/>
      <c r="B134" s="45"/>
      <c r="C134" s="48"/>
      <c r="D134" s="44"/>
      <c r="E134" s="44"/>
      <c r="F134" s="44"/>
      <c r="G134" s="44"/>
      <c r="H134" s="44"/>
      <c r="I134" s="71"/>
    </row>
    <row r="135" customFormat="false" ht="15" hidden="false" customHeight="false" outlineLevel="0" collapsed="false">
      <c r="A135" s="44"/>
      <c r="B135" s="45"/>
      <c r="C135" s="48"/>
      <c r="D135" s="44"/>
      <c r="E135" s="44"/>
      <c r="F135" s="44"/>
      <c r="G135" s="44"/>
      <c r="H135" s="44"/>
      <c r="I135" s="71"/>
    </row>
    <row r="136" customFormat="false" ht="15" hidden="false" customHeight="false" outlineLevel="0" collapsed="false">
      <c r="A136" s="44"/>
      <c r="B136" s="45"/>
      <c r="C136" s="48"/>
      <c r="D136" s="44"/>
      <c r="E136" s="44"/>
      <c r="F136" s="44"/>
      <c r="G136" s="44"/>
      <c r="H136" s="44"/>
      <c r="I136" s="71"/>
    </row>
    <row r="137" customFormat="false" ht="15" hidden="false" customHeight="false" outlineLevel="0" collapsed="false">
      <c r="A137" s="44"/>
      <c r="B137" s="45"/>
      <c r="C137" s="48"/>
      <c r="D137" s="44"/>
      <c r="E137" s="44"/>
      <c r="F137" s="44"/>
      <c r="G137" s="44"/>
      <c r="H137" s="44"/>
      <c r="I137" s="71"/>
    </row>
    <row r="138" customFormat="false" ht="15" hidden="false" customHeight="false" outlineLevel="0" collapsed="false">
      <c r="A138" s="44"/>
      <c r="B138" s="45"/>
      <c r="C138" s="48"/>
      <c r="D138" s="44"/>
      <c r="E138" s="44"/>
      <c r="F138" s="44"/>
      <c r="G138" s="44"/>
      <c r="H138" s="44"/>
      <c r="I138" s="71"/>
    </row>
    <row r="139" customFormat="false" ht="15" hidden="false" customHeight="false" outlineLevel="0" collapsed="false">
      <c r="A139" s="44"/>
      <c r="B139" s="45"/>
      <c r="C139" s="48"/>
      <c r="D139" s="44"/>
      <c r="E139" s="44"/>
      <c r="F139" s="44"/>
      <c r="G139" s="44"/>
      <c r="H139" s="44"/>
      <c r="I139" s="71"/>
    </row>
    <row r="140" customFormat="false" ht="15" hidden="false" customHeight="false" outlineLevel="0" collapsed="false">
      <c r="A140" s="44"/>
      <c r="B140" s="45"/>
      <c r="C140" s="48"/>
      <c r="D140" s="44"/>
      <c r="E140" s="44"/>
      <c r="F140" s="44"/>
      <c r="G140" s="44"/>
      <c r="H140" s="44"/>
      <c r="I140" s="71"/>
    </row>
    <row r="141" customFormat="false" ht="15" hidden="false" customHeight="false" outlineLevel="0" collapsed="false">
      <c r="A141" s="44"/>
      <c r="B141" s="45"/>
      <c r="C141" s="48"/>
      <c r="D141" s="44"/>
      <c r="E141" s="44"/>
      <c r="F141" s="44"/>
      <c r="G141" s="44"/>
      <c r="H141" s="44"/>
      <c r="I141" s="71"/>
    </row>
    <row r="142" customFormat="false" ht="15" hidden="false" customHeight="false" outlineLevel="0" collapsed="false">
      <c r="A142" s="44"/>
      <c r="B142" s="45"/>
      <c r="C142" s="48"/>
      <c r="D142" s="44"/>
      <c r="E142" s="44"/>
      <c r="F142" s="44"/>
      <c r="G142" s="44"/>
      <c r="H142" s="44"/>
      <c r="I142" s="71"/>
    </row>
    <row r="143" customFormat="false" ht="15" hidden="false" customHeight="false" outlineLevel="0" collapsed="false">
      <c r="A143" s="44"/>
      <c r="B143" s="45"/>
      <c r="C143" s="48"/>
      <c r="D143" s="44"/>
      <c r="E143" s="44"/>
      <c r="F143" s="44"/>
      <c r="G143" s="44"/>
      <c r="H143" s="44"/>
      <c r="I143" s="71"/>
    </row>
    <row r="144" customFormat="false" ht="15" hidden="false" customHeight="false" outlineLevel="0" collapsed="false">
      <c r="A144" s="44"/>
      <c r="B144" s="45"/>
      <c r="C144" s="48"/>
      <c r="D144" s="44"/>
      <c r="E144" s="44"/>
      <c r="F144" s="44"/>
      <c r="G144" s="44"/>
      <c r="H144" s="44"/>
      <c r="I144" s="71"/>
    </row>
    <row r="145" customFormat="false" ht="15" hidden="false" customHeight="false" outlineLevel="0" collapsed="false">
      <c r="A145" s="44"/>
      <c r="B145" s="45"/>
      <c r="C145" s="48"/>
      <c r="D145" s="44"/>
      <c r="E145" s="44"/>
      <c r="F145" s="44"/>
      <c r="G145" s="44"/>
      <c r="H145" s="44"/>
      <c r="I145" s="71"/>
    </row>
    <row r="146" customFormat="false" ht="15" hidden="false" customHeight="false" outlineLevel="0" collapsed="false">
      <c r="A146" s="44"/>
      <c r="B146" s="45"/>
      <c r="C146" s="48"/>
      <c r="D146" s="44"/>
      <c r="E146" s="44"/>
      <c r="F146" s="44"/>
      <c r="G146" s="44"/>
      <c r="H146" s="44"/>
      <c r="I146" s="71"/>
    </row>
    <row r="147" customFormat="false" ht="15" hidden="false" customHeight="false" outlineLevel="0" collapsed="false">
      <c r="A147" s="44"/>
      <c r="B147" s="45"/>
      <c r="C147" s="48"/>
      <c r="D147" s="44"/>
      <c r="E147" s="44"/>
      <c r="F147" s="44"/>
      <c r="G147" s="44"/>
      <c r="H147" s="44"/>
      <c r="I147" s="71"/>
    </row>
    <row r="148" customFormat="false" ht="15" hidden="false" customHeight="false" outlineLevel="0" collapsed="false">
      <c r="A148" s="44"/>
      <c r="B148" s="45"/>
      <c r="C148" s="48"/>
      <c r="D148" s="44"/>
      <c r="E148" s="44"/>
      <c r="F148" s="44"/>
      <c r="G148" s="44"/>
      <c r="H148" s="44"/>
      <c r="I148" s="71"/>
    </row>
    <row r="149" customFormat="false" ht="15" hidden="false" customHeight="false" outlineLevel="0" collapsed="false">
      <c r="A149" s="44"/>
      <c r="B149" s="45"/>
      <c r="C149" s="48"/>
      <c r="D149" s="44"/>
      <c r="E149" s="44"/>
      <c r="F149" s="44"/>
      <c r="G149" s="44"/>
      <c r="H149" s="44"/>
      <c r="I149" s="71"/>
    </row>
    <row r="150" customFormat="false" ht="15" hidden="false" customHeight="false" outlineLevel="0" collapsed="false">
      <c r="A150" s="44"/>
      <c r="B150" s="45"/>
      <c r="C150" s="48"/>
      <c r="D150" s="44"/>
      <c r="E150" s="44"/>
      <c r="F150" s="44"/>
      <c r="G150" s="44"/>
      <c r="H150" s="44"/>
      <c r="I150" s="71"/>
    </row>
    <row r="151" customFormat="false" ht="15" hidden="false" customHeight="false" outlineLevel="0" collapsed="false">
      <c r="A151" s="44"/>
      <c r="B151" s="45"/>
      <c r="C151" s="48"/>
      <c r="D151" s="44"/>
      <c r="E151" s="44"/>
      <c r="F151" s="44"/>
      <c r="G151" s="44"/>
      <c r="H151" s="44"/>
      <c r="I151" s="71"/>
    </row>
    <row r="152" customFormat="false" ht="15" hidden="false" customHeight="false" outlineLevel="0" collapsed="false">
      <c r="A152" s="44"/>
      <c r="B152" s="45"/>
      <c r="C152" s="48"/>
      <c r="D152" s="44"/>
      <c r="E152" s="44"/>
      <c r="F152" s="44"/>
      <c r="G152" s="44"/>
      <c r="H152" s="44"/>
      <c r="I152" s="71"/>
    </row>
    <row r="153" customFormat="false" ht="15" hidden="false" customHeight="false" outlineLevel="0" collapsed="false">
      <c r="A153" s="44"/>
      <c r="B153" s="45"/>
      <c r="C153" s="48"/>
      <c r="D153" s="44"/>
      <c r="E153" s="44"/>
      <c r="F153" s="44"/>
      <c r="G153" s="44"/>
      <c r="H153" s="44"/>
      <c r="I153" s="71"/>
    </row>
    <row r="154" customFormat="false" ht="15" hidden="false" customHeight="false" outlineLevel="0" collapsed="false">
      <c r="A154" s="44"/>
      <c r="B154" s="45"/>
      <c r="C154" s="48"/>
      <c r="D154" s="44"/>
      <c r="E154" s="44"/>
      <c r="F154" s="44"/>
      <c r="G154" s="44"/>
      <c r="H154" s="44"/>
      <c r="I154" s="71"/>
    </row>
    <row r="155" customFormat="false" ht="15" hidden="false" customHeight="false" outlineLevel="0" collapsed="false">
      <c r="A155" s="44"/>
      <c r="B155" s="45"/>
      <c r="C155" s="48"/>
      <c r="D155" s="44"/>
      <c r="E155" s="44"/>
      <c r="F155" s="44"/>
      <c r="G155" s="44"/>
      <c r="H155" s="44"/>
      <c r="I155" s="71"/>
    </row>
    <row r="156" customFormat="false" ht="15" hidden="false" customHeight="false" outlineLevel="0" collapsed="false">
      <c r="A156" s="44"/>
      <c r="B156" s="45"/>
      <c r="C156" s="48"/>
      <c r="D156" s="44"/>
      <c r="E156" s="44"/>
      <c r="F156" s="44"/>
      <c r="G156" s="44"/>
      <c r="H156" s="44"/>
      <c r="I156" s="71"/>
    </row>
    <row r="157" customFormat="false" ht="15" hidden="false" customHeight="false" outlineLevel="0" collapsed="false">
      <c r="A157" s="44"/>
      <c r="B157" s="45"/>
      <c r="C157" s="48"/>
      <c r="D157" s="44"/>
      <c r="E157" s="44"/>
      <c r="F157" s="44"/>
      <c r="G157" s="44"/>
      <c r="H157" s="44"/>
      <c r="I157" s="71"/>
    </row>
    <row r="158" customFormat="false" ht="15" hidden="false" customHeight="false" outlineLevel="0" collapsed="false">
      <c r="A158" s="44"/>
      <c r="B158" s="45"/>
      <c r="C158" s="48"/>
      <c r="D158" s="44"/>
      <c r="E158" s="44"/>
      <c r="F158" s="44"/>
      <c r="G158" s="44"/>
      <c r="H158" s="44"/>
      <c r="I158" s="71"/>
    </row>
    <row r="159" customFormat="false" ht="15" hidden="false" customHeight="false" outlineLevel="0" collapsed="false">
      <c r="A159" s="44"/>
      <c r="B159" s="45"/>
      <c r="C159" s="48"/>
      <c r="D159" s="44"/>
      <c r="E159" s="44"/>
      <c r="F159" s="44"/>
      <c r="G159" s="44"/>
      <c r="H159" s="44"/>
      <c r="I159" s="71"/>
    </row>
    <row r="160" customFormat="false" ht="15" hidden="false" customHeight="false" outlineLevel="0" collapsed="false">
      <c r="A160" s="44"/>
      <c r="B160" s="45"/>
      <c r="C160" s="48"/>
      <c r="D160" s="44"/>
      <c r="E160" s="44"/>
      <c r="F160" s="44"/>
      <c r="G160" s="44"/>
      <c r="H160" s="44"/>
      <c r="I160" s="71"/>
    </row>
    <row r="161" customFormat="false" ht="15" hidden="false" customHeight="false" outlineLevel="0" collapsed="false">
      <c r="A161" s="44"/>
      <c r="B161" s="45"/>
      <c r="C161" s="48"/>
      <c r="D161" s="44"/>
      <c r="E161" s="44"/>
      <c r="F161" s="44"/>
      <c r="G161" s="44"/>
      <c r="H161" s="44"/>
      <c r="I161" s="71"/>
    </row>
    <row r="162" customFormat="false" ht="15" hidden="false" customHeight="false" outlineLevel="0" collapsed="false">
      <c r="A162" s="44"/>
      <c r="B162" s="45"/>
      <c r="C162" s="48"/>
      <c r="D162" s="44"/>
      <c r="E162" s="44"/>
      <c r="F162" s="44"/>
      <c r="G162" s="44"/>
      <c r="H162" s="44"/>
      <c r="I162" s="71"/>
    </row>
    <row r="163" customFormat="false" ht="15" hidden="false" customHeight="false" outlineLevel="0" collapsed="false">
      <c r="A163" s="44"/>
      <c r="B163" s="45"/>
      <c r="C163" s="48"/>
      <c r="D163" s="44"/>
      <c r="E163" s="44"/>
      <c r="F163" s="44"/>
      <c r="G163" s="44"/>
      <c r="H163" s="44"/>
      <c r="I163" s="71"/>
    </row>
    <row r="164" customFormat="false" ht="15" hidden="false" customHeight="false" outlineLevel="0" collapsed="false">
      <c r="A164" s="44"/>
      <c r="B164" s="45"/>
      <c r="C164" s="48"/>
      <c r="D164" s="44"/>
      <c r="E164" s="44"/>
      <c r="F164" s="44"/>
      <c r="G164" s="44"/>
      <c r="H164" s="44"/>
      <c r="I164" s="71"/>
    </row>
    <row r="165" customFormat="false" ht="15" hidden="false" customHeight="false" outlineLevel="0" collapsed="false">
      <c r="A165" s="44"/>
      <c r="B165" s="45"/>
      <c r="C165" s="48"/>
      <c r="D165" s="44"/>
      <c r="E165" s="44"/>
      <c r="F165" s="44"/>
      <c r="G165" s="44"/>
      <c r="H165" s="44"/>
      <c r="I165" s="71"/>
    </row>
    <row r="166" customFormat="false" ht="15" hidden="false" customHeight="false" outlineLevel="0" collapsed="false">
      <c r="A166" s="44"/>
      <c r="B166" s="45"/>
      <c r="C166" s="48"/>
      <c r="D166" s="44"/>
      <c r="E166" s="44"/>
      <c r="F166" s="44"/>
      <c r="G166" s="44"/>
      <c r="H166" s="44"/>
      <c r="I166" s="71"/>
    </row>
    <row r="167" customFormat="false" ht="15" hidden="false" customHeight="false" outlineLevel="0" collapsed="false">
      <c r="A167" s="44"/>
      <c r="B167" s="45"/>
      <c r="C167" s="48"/>
      <c r="D167" s="44"/>
      <c r="E167" s="44"/>
      <c r="F167" s="44"/>
      <c r="G167" s="44"/>
      <c r="H167" s="44"/>
      <c r="I167" s="71"/>
    </row>
    <row r="168" customFormat="false" ht="15" hidden="false" customHeight="false" outlineLevel="0" collapsed="false">
      <c r="A168" s="44"/>
      <c r="B168" s="45"/>
      <c r="C168" s="48"/>
      <c r="D168" s="44"/>
      <c r="E168" s="44"/>
      <c r="F168" s="44"/>
      <c r="G168" s="44"/>
      <c r="H168" s="44"/>
      <c r="I168" s="71"/>
    </row>
    <row r="169" customFormat="false" ht="15" hidden="false" customHeight="false" outlineLevel="0" collapsed="false">
      <c r="A169" s="44"/>
      <c r="B169" s="45"/>
      <c r="C169" s="48"/>
      <c r="D169" s="44"/>
      <c r="E169" s="44"/>
      <c r="F169" s="44"/>
      <c r="G169" s="44"/>
      <c r="H169" s="44"/>
      <c r="I169" s="71"/>
    </row>
    <row r="170" customFormat="false" ht="15" hidden="false" customHeight="false" outlineLevel="0" collapsed="false">
      <c r="A170" s="44"/>
      <c r="B170" s="45"/>
      <c r="C170" s="48"/>
      <c r="D170" s="44"/>
      <c r="E170" s="44"/>
      <c r="F170" s="44"/>
      <c r="G170" s="44"/>
      <c r="H170" s="44"/>
      <c r="I170" s="71"/>
    </row>
    <row r="171" customFormat="false" ht="15" hidden="false" customHeight="false" outlineLevel="0" collapsed="false">
      <c r="A171" s="44"/>
      <c r="B171" s="45"/>
      <c r="C171" s="48"/>
      <c r="D171" s="44"/>
      <c r="E171" s="44"/>
      <c r="F171" s="44"/>
      <c r="G171" s="44"/>
      <c r="H171" s="44"/>
      <c r="I171" s="71"/>
    </row>
    <row r="172" customFormat="false" ht="15" hidden="false" customHeight="false" outlineLevel="0" collapsed="false">
      <c r="A172" s="44"/>
      <c r="B172" s="45"/>
      <c r="C172" s="48"/>
      <c r="D172" s="44"/>
      <c r="E172" s="44"/>
      <c r="F172" s="44"/>
      <c r="G172" s="44"/>
      <c r="H172" s="44"/>
      <c r="I172" s="71"/>
    </row>
    <row r="173" customFormat="false" ht="15" hidden="false" customHeight="false" outlineLevel="0" collapsed="false">
      <c r="A173" s="44"/>
      <c r="B173" s="45"/>
      <c r="C173" s="48"/>
      <c r="D173" s="44"/>
      <c r="E173" s="44"/>
      <c r="F173" s="44"/>
      <c r="G173" s="44"/>
      <c r="H173" s="44"/>
      <c r="I173" s="71"/>
    </row>
    <row r="174" customFormat="false" ht="15" hidden="false" customHeight="false" outlineLevel="0" collapsed="false">
      <c r="A174" s="44"/>
      <c r="B174" s="45"/>
      <c r="C174" s="48"/>
      <c r="D174" s="44"/>
      <c r="E174" s="44"/>
      <c r="F174" s="44"/>
      <c r="G174" s="44"/>
      <c r="H174" s="44"/>
      <c r="I174" s="71"/>
    </row>
    <row r="175" customFormat="false" ht="15" hidden="false" customHeight="false" outlineLevel="0" collapsed="false">
      <c r="A175" s="44"/>
      <c r="B175" s="45"/>
      <c r="C175" s="48"/>
      <c r="D175" s="44"/>
      <c r="E175" s="44"/>
      <c r="F175" s="44"/>
      <c r="G175" s="44"/>
      <c r="H175" s="44"/>
      <c r="I175" s="71"/>
    </row>
    <row r="176" customFormat="false" ht="15" hidden="false" customHeight="false" outlineLevel="0" collapsed="false">
      <c r="A176" s="44"/>
      <c r="B176" s="45"/>
      <c r="C176" s="48"/>
      <c r="D176" s="44"/>
      <c r="E176" s="44"/>
      <c r="F176" s="44"/>
      <c r="G176" s="44"/>
      <c r="H176" s="44"/>
      <c r="I176" s="71"/>
    </row>
    <row r="177" customFormat="false" ht="15" hidden="false" customHeight="false" outlineLevel="0" collapsed="false">
      <c r="A177" s="44"/>
      <c r="B177" s="45"/>
      <c r="C177" s="48"/>
      <c r="D177" s="44"/>
      <c r="E177" s="44"/>
      <c r="F177" s="44"/>
      <c r="G177" s="44"/>
      <c r="H177" s="44"/>
      <c r="I177" s="71"/>
    </row>
    <row r="178" customFormat="false" ht="15" hidden="false" customHeight="false" outlineLevel="0" collapsed="false">
      <c r="A178" s="44"/>
      <c r="B178" s="45"/>
      <c r="C178" s="48"/>
      <c r="D178" s="44"/>
      <c r="E178" s="44"/>
      <c r="F178" s="44"/>
      <c r="G178" s="44"/>
      <c r="H178" s="44"/>
      <c r="I178" s="71"/>
    </row>
    <row r="179" customFormat="false" ht="15" hidden="false" customHeight="false" outlineLevel="0" collapsed="false">
      <c r="A179" s="44"/>
      <c r="B179" s="45"/>
      <c r="C179" s="48"/>
      <c r="D179" s="44"/>
      <c r="E179" s="44"/>
      <c r="F179" s="44"/>
      <c r="G179" s="44"/>
      <c r="H179" s="44"/>
      <c r="I179" s="71"/>
    </row>
    <row r="180" customFormat="false" ht="15" hidden="false" customHeight="false" outlineLevel="0" collapsed="false">
      <c r="A180" s="44"/>
      <c r="B180" s="45"/>
      <c r="C180" s="48"/>
      <c r="D180" s="44"/>
      <c r="E180" s="44"/>
      <c r="F180" s="44"/>
      <c r="G180" s="44"/>
      <c r="H180" s="44"/>
      <c r="I180" s="71"/>
    </row>
    <row r="181" customFormat="false" ht="15" hidden="false" customHeight="false" outlineLevel="0" collapsed="false">
      <c r="A181" s="44"/>
      <c r="B181" s="45"/>
      <c r="C181" s="48"/>
      <c r="D181" s="44"/>
      <c r="E181" s="44"/>
      <c r="F181" s="44"/>
      <c r="G181" s="44"/>
      <c r="H181" s="44"/>
      <c r="I181" s="71"/>
    </row>
    <row r="182" customFormat="false" ht="15" hidden="false" customHeight="false" outlineLevel="0" collapsed="false">
      <c r="A182" s="44"/>
      <c r="B182" s="45"/>
      <c r="C182" s="48"/>
      <c r="D182" s="44"/>
      <c r="E182" s="44"/>
      <c r="F182" s="44"/>
      <c r="G182" s="44"/>
      <c r="H182" s="44"/>
      <c r="I182" s="71"/>
    </row>
    <row r="183" customFormat="false" ht="15" hidden="false" customHeight="false" outlineLevel="0" collapsed="false">
      <c r="A183" s="44"/>
      <c r="B183" s="45"/>
      <c r="C183" s="48"/>
      <c r="D183" s="44"/>
      <c r="E183" s="44"/>
      <c r="F183" s="44"/>
      <c r="G183" s="44"/>
      <c r="H183" s="44"/>
      <c r="I183" s="71"/>
    </row>
    <row r="184" customFormat="false" ht="15" hidden="false" customHeight="false" outlineLevel="0" collapsed="false">
      <c r="A184" s="44"/>
      <c r="B184" s="45"/>
      <c r="C184" s="48"/>
      <c r="D184" s="44"/>
      <c r="E184" s="44"/>
      <c r="F184" s="44"/>
      <c r="G184" s="44"/>
      <c r="H184" s="44"/>
      <c r="I184" s="71"/>
    </row>
    <row r="185" customFormat="false" ht="15" hidden="false" customHeight="false" outlineLevel="0" collapsed="false">
      <c r="A185" s="44"/>
      <c r="B185" s="45"/>
      <c r="C185" s="48"/>
      <c r="D185" s="44"/>
      <c r="E185" s="44"/>
      <c r="F185" s="44"/>
      <c r="G185" s="44"/>
      <c r="H185" s="44"/>
      <c r="I185" s="71"/>
    </row>
    <row r="186" customFormat="false" ht="15" hidden="false" customHeight="false" outlineLevel="0" collapsed="false">
      <c r="A186" s="44"/>
      <c r="B186" s="45"/>
      <c r="C186" s="48"/>
      <c r="D186" s="44"/>
      <c r="E186" s="44"/>
      <c r="F186" s="44"/>
      <c r="G186" s="44"/>
      <c r="H186" s="44"/>
      <c r="I186" s="71"/>
    </row>
    <row r="187" customFormat="false" ht="15" hidden="false" customHeight="false" outlineLevel="0" collapsed="false">
      <c r="A187" s="44"/>
      <c r="B187" s="45"/>
      <c r="C187" s="48"/>
      <c r="D187" s="44"/>
      <c r="E187" s="44"/>
      <c r="F187" s="44"/>
      <c r="G187" s="44"/>
      <c r="H187" s="44"/>
      <c r="I187" s="71"/>
    </row>
    <row r="188" customFormat="false" ht="15" hidden="false" customHeight="false" outlineLevel="0" collapsed="false">
      <c r="A188" s="44"/>
      <c r="B188" s="45"/>
      <c r="C188" s="48"/>
      <c r="D188" s="44"/>
      <c r="E188" s="44"/>
      <c r="F188" s="44"/>
      <c r="G188" s="44"/>
      <c r="H188" s="44"/>
      <c r="I188" s="71"/>
    </row>
    <row r="189" customFormat="false" ht="15" hidden="false" customHeight="false" outlineLevel="0" collapsed="false">
      <c r="A189" s="44"/>
      <c r="B189" s="45"/>
      <c r="C189" s="48"/>
      <c r="D189" s="44"/>
      <c r="E189" s="44"/>
      <c r="F189" s="44"/>
      <c r="G189" s="44"/>
      <c r="H189" s="44"/>
      <c r="I189" s="71"/>
    </row>
    <row r="190" customFormat="false" ht="15" hidden="false" customHeight="false" outlineLevel="0" collapsed="false">
      <c r="A190" s="44"/>
      <c r="B190" s="45"/>
      <c r="C190" s="48"/>
      <c r="D190" s="44"/>
      <c r="E190" s="44"/>
      <c r="F190" s="44"/>
      <c r="G190" s="44"/>
      <c r="H190" s="44"/>
      <c r="I190" s="71"/>
    </row>
    <row r="191" customFormat="false" ht="15" hidden="false" customHeight="false" outlineLevel="0" collapsed="false">
      <c r="A191" s="44"/>
      <c r="B191" s="45"/>
      <c r="C191" s="48"/>
      <c r="D191" s="44"/>
      <c r="E191" s="44"/>
      <c r="F191" s="44"/>
      <c r="G191" s="44"/>
      <c r="H191" s="44"/>
      <c r="I191" s="71"/>
    </row>
    <row r="192" customFormat="false" ht="15" hidden="false" customHeight="false" outlineLevel="0" collapsed="false">
      <c r="A192" s="44"/>
      <c r="B192" s="45"/>
      <c r="C192" s="48"/>
      <c r="D192" s="44"/>
      <c r="E192" s="44"/>
      <c r="F192" s="44"/>
      <c r="G192" s="44"/>
      <c r="H192" s="44"/>
      <c r="I192" s="71"/>
    </row>
    <row r="193" customFormat="false" ht="15" hidden="false" customHeight="false" outlineLevel="0" collapsed="false">
      <c r="A193" s="44"/>
      <c r="B193" s="45"/>
      <c r="C193" s="48"/>
      <c r="D193" s="44"/>
      <c r="E193" s="44"/>
      <c r="F193" s="44"/>
      <c r="G193" s="44"/>
      <c r="H193" s="44"/>
      <c r="I193" s="71"/>
    </row>
    <row r="194" customFormat="false" ht="15" hidden="false" customHeight="false" outlineLevel="0" collapsed="false">
      <c r="A194" s="44"/>
      <c r="B194" s="45"/>
      <c r="C194" s="48"/>
      <c r="D194" s="44"/>
      <c r="E194" s="44"/>
      <c r="F194" s="44"/>
      <c r="G194" s="44"/>
      <c r="H194" s="44"/>
      <c r="I194" s="71"/>
    </row>
    <row r="195" customFormat="false" ht="15" hidden="false" customHeight="false" outlineLevel="0" collapsed="false">
      <c r="A195" s="44"/>
      <c r="B195" s="45"/>
      <c r="C195" s="48"/>
      <c r="D195" s="44"/>
      <c r="E195" s="44"/>
      <c r="F195" s="44"/>
      <c r="G195" s="44"/>
      <c r="H195" s="44"/>
      <c r="I195" s="71"/>
    </row>
    <row r="196" customFormat="false" ht="15" hidden="false" customHeight="false" outlineLevel="0" collapsed="false">
      <c r="A196" s="44"/>
      <c r="B196" s="45"/>
      <c r="C196" s="48"/>
      <c r="D196" s="44"/>
      <c r="E196" s="44"/>
      <c r="F196" s="44"/>
      <c r="G196" s="44"/>
      <c r="H196" s="44"/>
      <c r="I196" s="71"/>
    </row>
    <row r="197" customFormat="false" ht="15" hidden="false" customHeight="false" outlineLevel="0" collapsed="false">
      <c r="A197" s="44"/>
      <c r="B197" s="45"/>
      <c r="C197" s="48"/>
      <c r="D197" s="44"/>
      <c r="E197" s="44"/>
      <c r="F197" s="44"/>
      <c r="G197" s="44"/>
      <c r="H197" s="44"/>
      <c r="I197" s="71"/>
    </row>
    <row r="198" customFormat="false" ht="15" hidden="false" customHeight="false" outlineLevel="0" collapsed="false">
      <c r="A198" s="44"/>
      <c r="B198" s="45"/>
      <c r="C198" s="48"/>
      <c r="D198" s="44"/>
      <c r="E198" s="44"/>
      <c r="F198" s="44"/>
      <c r="G198" s="44"/>
      <c r="H198" s="44"/>
      <c r="I198" s="71"/>
    </row>
    <row r="199" customFormat="false" ht="15" hidden="false" customHeight="false" outlineLevel="0" collapsed="false">
      <c r="A199" s="44"/>
      <c r="B199" s="45"/>
      <c r="C199" s="48"/>
      <c r="D199" s="44"/>
      <c r="E199" s="44"/>
      <c r="F199" s="44"/>
      <c r="G199" s="44"/>
      <c r="H199" s="44"/>
      <c r="I199" s="71"/>
    </row>
    <row r="200" customFormat="false" ht="15" hidden="false" customHeight="false" outlineLevel="0" collapsed="false">
      <c r="A200" s="44"/>
      <c r="B200" s="45"/>
      <c r="C200" s="48"/>
      <c r="D200" s="44"/>
      <c r="E200" s="44"/>
      <c r="F200" s="44"/>
      <c r="G200" s="44"/>
      <c r="H200" s="44"/>
      <c r="I200" s="71"/>
    </row>
    <row r="201" customFormat="false" ht="15" hidden="false" customHeight="false" outlineLevel="0" collapsed="false">
      <c r="A201" s="44"/>
      <c r="B201" s="45"/>
      <c r="C201" s="48"/>
      <c r="D201" s="44"/>
      <c r="E201" s="44"/>
      <c r="F201" s="44"/>
      <c r="G201" s="44"/>
      <c r="H201" s="44"/>
      <c r="I201" s="71"/>
    </row>
    <row r="202" customFormat="false" ht="15" hidden="false" customHeight="false" outlineLevel="0" collapsed="false">
      <c r="A202" s="44"/>
      <c r="B202" s="45"/>
      <c r="C202" s="48"/>
      <c r="D202" s="44"/>
      <c r="E202" s="44"/>
      <c r="F202" s="44"/>
      <c r="G202" s="44"/>
      <c r="H202" s="44"/>
      <c r="I202" s="71"/>
    </row>
    <row r="203" customFormat="false" ht="15" hidden="false" customHeight="false" outlineLevel="0" collapsed="false">
      <c r="A203" s="44"/>
      <c r="B203" s="45"/>
      <c r="C203" s="48"/>
      <c r="D203" s="44"/>
      <c r="E203" s="44"/>
      <c r="F203" s="44"/>
      <c r="G203" s="44"/>
      <c r="H203" s="44"/>
      <c r="I203" s="71"/>
    </row>
    <row r="204" customFormat="false" ht="15" hidden="false" customHeight="false" outlineLevel="0" collapsed="false">
      <c r="A204" s="44"/>
      <c r="B204" s="45"/>
      <c r="C204" s="48"/>
      <c r="D204" s="44"/>
      <c r="E204" s="44"/>
      <c r="F204" s="44"/>
      <c r="G204" s="44"/>
      <c r="H204" s="44"/>
      <c r="I204" s="71"/>
    </row>
    <row r="205" customFormat="false" ht="15" hidden="false" customHeight="false" outlineLevel="0" collapsed="false">
      <c r="A205" s="53"/>
      <c r="B205" s="54"/>
      <c r="C205" s="57"/>
      <c r="D205" s="53"/>
      <c r="E205" s="53"/>
      <c r="F205" s="53"/>
      <c r="G205" s="53"/>
      <c r="H205" s="53"/>
      <c r="I205" s="72"/>
    </row>
  </sheetData>
  <mergeCells count="3">
    <mergeCell ref="A1:I1"/>
    <mergeCell ref="A2:I2"/>
    <mergeCell ref="A4:I4"/>
  </mergeCells>
  <conditionalFormatting sqref="E6:E205">
    <cfRule type="containsText" priority="2" operator="containsText" aboveAverage="0" equalAverage="0" bottom="0" percent="0" rank="0" text="No" dxfId="15">
      <formula>NOT(ISERROR(SEARCH("No",E6)))</formula>
    </cfRule>
    <cfRule type="containsText" priority="3" operator="containsText" aboveAverage="0" equalAverage="0" bottom="0" percent="0" rank="0" text="Yes" dxfId="16">
      <formula>NOT(ISERROR(SEARCH("Yes",E6)))</formula>
    </cfRule>
  </conditionalFormatting>
  <dataValidations count="2">
    <dataValidation allowBlank="false" errorStyle="stop" operator="between" showDropDown="false" showErrorMessage="false" showInputMessage="false" sqref="E6:E205" type="list">
      <formula1>"Yes,No,Partial"</formula1>
      <formula2>0</formula2>
    </dataValidation>
    <dataValidation allowBlank="false" errorStyle="stop" operator="between" showDropDown="false" showErrorMessage="false" showInputMessage="false" sqref="I6:I205" type="whole">
      <formula1>0</formula1>
      <formula2>1440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4" min="2" style="1" width="14"/>
    <col collapsed="false" customWidth="true" hidden="false" outlineLevel="0" max="5" min="5" style="1" width="26"/>
    <col collapsed="false" customWidth="true" hidden="false" outlineLevel="0" max="6" min="6" style="1" width="65"/>
  </cols>
  <sheetData>
    <row r="1" customFormat="false" ht="32" hidden="false" customHeight="true" outlineLevel="0" collapsed="false">
      <c r="A1" s="2" t="s">
        <v>213</v>
      </c>
      <c r="B1" s="2" t="s">
        <v>213</v>
      </c>
      <c r="C1" s="2" t="s">
        <v>213</v>
      </c>
      <c r="D1" s="2" t="s">
        <v>213</v>
      </c>
      <c r="E1" s="2" t="s">
        <v>213</v>
      </c>
      <c r="F1" s="2" t="s">
        <v>213</v>
      </c>
    </row>
    <row r="2" customFormat="false" ht="28" hidden="false" customHeight="true" outlineLevel="0" collapsed="false">
      <c r="A2" s="3" t="s">
        <v>214</v>
      </c>
      <c r="B2" s="3" t="s">
        <v>214</v>
      </c>
      <c r="C2" s="3" t="s">
        <v>214</v>
      </c>
      <c r="D2" s="3" t="s">
        <v>214</v>
      </c>
      <c r="E2" s="3" t="s">
        <v>214</v>
      </c>
      <c r="F2" s="3" t="s">
        <v>214</v>
      </c>
    </row>
    <row r="4" customFormat="false" ht="34" hidden="false" customHeight="true" outlineLevel="0" collapsed="false">
      <c r="A4" s="32" t="s">
        <v>78</v>
      </c>
      <c r="B4" s="33" t="s">
        <v>92</v>
      </c>
      <c r="C4" s="33" t="s">
        <v>93</v>
      </c>
      <c r="D4" s="33" t="s">
        <v>215</v>
      </c>
      <c r="E4" s="33" t="s">
        <v>216</v>
      </c>
      <c r="F4" s="34" t="s">
        <v>217</v>
      </c>
    </row>
    <row r="5" customFormat="false" ht="15" hidden="false" customHeight="false" outlineLevel="0" collapsed="false">
      <c r="A5" s="24" t="s">
        <v>218</v>
      </c>
      <c r="B5" s="73" t="n">
        <v>0.25</v>
      </c>
      <c r="C5" s="73" t="n">
        <v>1.25</v>
      </c>
      <c r="D5" s="73" t="n">
        <v>5</v>
      </c>
      <c r="E5" s="24" t="s">
        <v>219</v>
      </c>
      <c r="F5" s="24" t="s">
        <v>220</v>
      </c>
    </row>
    <row r="6" customFormat="false" ht="19.25" hidden="false" customHeight="false" outlineLevel="0" collapsed="false">
      <c r="A6" s="24" t="s">
        <v>221</v>
      </c>
      <c r="B6" s="73" t="n">
        <v>0.25</v>
      </c>
      <c r="C6" s="73" t="n">
        <v>0.5</v>
      </c>
      <c r="D6" s="73" t="n">
        <v>2</v>
      </c>
      <c r="E6" s="24" t="s">
        <v>222</v>
      </c>
      <c r="F6" s="24" t="s">
        <v>223</v>
      </c>
    </row>
    <row r="7" customFormat="false" ht="15" hidden="false" customHeight="false" outlineLevel="0" collapsed="false">
      <c r="A7" s="24" t="s">
        <v>224</v>
      </c>
      <c r="B7" s="73" t="n">
        <v>0.1</v>
      </c>
      <c r="C7" s="73" t="n">
        <v>1</v>
      </c>
      <c r="D7" s="73" t="n">
        <v>10</v>
      </c>
      <c r="E7" s="24" t="s">
        <v>225</v>
      </c>
      <c r="F7" s="24" t="s">
        <v>226</v>
      </c>
    </row>
    <row r="8" customFormat="false" ht="15" hidden="false" customHeight="false" outlineLevel="0" collapsed="false">
      <c r="A8" s="24" t="s">
        <v>227</v>
      </c>
      <c r="B8" s="73" t="n">
        <v>0.01</v>
      </c>
      <c r="C8" s="73" t="n">
        <v>1</v>
      </c>
      <c r="D8" s="73" t="n">
        <v>100</v>
      </c>
      <c r="E8" s="24" t="s">
        <v>228</v>
      </c>
      <c r="F8" s="24" t="s">
        <v>229</v>
      </c>
    </row>
    <row r="10" customFormat="false" ht="34" hidden="false" customHeight="true" outlineLevel="0" collapsed="false">
      <c r="A10" s="32" t="s">
        <v>230</v>
      </c>
      <c r="B10" s="33" t="s">
        <v>81</v>
      </c>
      <c r="C10" s="33" t="s">
        <v>83</v>
      </c>
      <c r="D10" s="33" t="s">
        <v>231</v>
      </c>
      <c r="E10" s="33" t="s">
        <v>102</v>
      </c>
      <c r="F10" s="34" t="s">
        <v>114</v>
      </c>
    </row>
    <row r="11" customFormat="false" ht="15" hidden="false" customHeight="false" outlineLevel="0" collapsed="false">
      <c r="A11" s="74" t="s">
        <v>232</v>
      </c>
      <c r="B11" s="74" t="s">
        <v>233</v>
      </c>
      <c r="C11" s="74" t="s">
        <v>234</v>
      </c>
      <c r="D11" s="74" t="s">
        <v>146</v>
      </c>
      <c r="E11" s="74" t="s">
        <v>235</v>
      </c>
      <c r="F11" s="74" t="s">
        <v>236</v>
      </c>
    </row>
    <row r="12" customFormat="false" ht="15" hidden="false" customHeight="false" outlineLevel="0" collapsed="false">
      <c r="A12" s="74" t="s">
        <v>237</v>
      </c>
      <c r="B12" s="74" t="s">
        <v>238</v>
      </c>
      <c r="C12" s="74" t="s">
        <v>239</v>
      </c>
      <c r="D12" s="74" t="s">
        <v>240</v>
      </c>
      <c r="E12" s="74" t="s">
        <v>241</v>
      </c>
      <c r="F12" s="74" t="s">
        <v>242</v>
      </c>
    </row>
    <row r="13" customFormat="false" ht="15" hidden="false" customHeight="false" outlineLevel="0" collapsed="false">
      <c r="A13" s="74" t="s">
        <v>243</v>
      </c>
      <c r="B13" s="74"/>
      <c r="C13" s="74" t="s">
        <v>244</v>
      </c>
      <c r="D13" s="74"/>
      <c r="E13" s="74" t="s">
        <v>245</v>
      </c>
      <c r="F13" s="74"/>
    </row>
    <row r="14" customFormat="false" ht="15" hidden="false" customHeight="false" outlineLevel="0" collapsed="false">
      <c r="A14" s="74" t="s">
        <v>246</v>
      </c>
      <c r="B14" s="74"/>
      <c r="C14" s="74" t="s">
        <v>247</v>
      </c>
      <c r="D14" s="74"/>
      <c r="E14" s="74" t="s">
        <v>248</v>
      </c>
      <c r="F14" s="74"/>
    </row>
    <row r="15" customFormat="false" ht="15" hidden="false" customHeight="false" outlineLevel="0" collapsed="false">
      <c r="A15" s="74" t="s">
        <v>249</v>
      </c>
      <c r="B15" s="74"/>
      <c r="C15" s="74" t="s">
        <v>250</v>
      </c>
      <c r="D15" s="74"/>
      <c r="E15" s="74" t="s">
        <v>251</v>
      </c>
      <c r="F15" s="74"/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2"/>
    <col collapsed="false" customWidth="true" hidden="false" outlineLevel="0" max="3" min="3" style="1" width="23"/>
    <col collapsed="false" customWidth="true" hidden="false" outlineLevel="0" max="4" min="4" style="1" width="30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25"/>
    <col collapsed="false" customWidth="true" hidden="false" outlineLevel="0" max="8" min="8" style="1" width="30"/>
  </cols>
  <sheetData>
    <row r="1" customFormat="false" ht="32" hidden="false" customHeight="true" outlineLevel="0" collapsed="false">
      <c r="A1" s="2" t="s">
        <v>252</v>
      </c>
      <c r="B1" s="2" t="s">
        <v>252</v>
      </c>
      <c r="C1" s="2" t="s">
        <v>252</v>
      </c>
      <c r="D1" s="2" t="s">
        <v>252</v>
      </c>
      <c r="E1" s="2" t="s">
        <v>252</v>
      </c>
      <c r="F1" s="2" t="s">
        <v>252</v>
      </c>
      <c r="G1" s="2" t="s">
        <v>252</v>
      </c>
      <c r="H1" s="2" t="s">
        <v>252</v>
      </c>
    </row>
    <row r="2" customFormat="false" ht="28" hidden="false" customHeight="true" outlineLevel="0" collapsed="false">
      <c r="A2" s="3" t="s">
        <v>253</v>
      </c>
      <c r="B2" s="3" t="s">
        <v>253</v>
      </c>
      <c r="C2" s="3" t="s">
        <v>253</v>
      </c>
      <c r="D2" s="3" t="s">
        <v>253</v>
      </c>
      <c r="E2" s="3" t="s">
        <v>253</v>
      </c>
      <c r="F2" s="3" t="s">
        <v>253</v>
      </c>
      <c r="G2" s="3" t="s">
        <v>253</v>
      </c>
      <c r="H2" s="3" t="s">
        <v>253</v>
      </c>
    </row>
    <row r="4" customFormat="false" ht="15" hidden="false" customHeight="false" outlineLevel="0" collapsed="false">
      <c r="A4" s="4" t="s">
        <v>254</v>
      </c>
      <c r="B4" s="4" t="s">
        <v>254</v>
      </c>
      <c r="C4" s="4" t="s">
        <v>254</v>
      </c>
      <c r="D4" s="4" t="s">
        <v>254</v>
      </c>
      <c r="E4" s="4" t="s">
        <v>254</v>
      </c>
      <c r="F4" s="4" t="s">
        <v>254</v>
      </c>
      <c r="G4" s="4" t="s">
        <v>254</v>
      </c>
      <c r="H4" s="4" t="s">
        <v>254</v>
      </c>
    </row>
    <row r="5" customFormat="false" ht="34" hidden="false" customHeight="true" outlineLevel="0" collapsed="false">
      <c r="A5" s="32" t="s">
        <v>255</v>
      </c>
      <c r="B5" s="33" t="s">
        <v>256</v>
      </c>
      <c r="C5" s="33" t="s">
        <v>257</v>
      </c>
      <c r="D5" s="33" t="s">
        <v>258</v>
      </c>
      <c r="E5" s="33" t="s">
        <v>259</v>
      </c>
      <c r="F5" s="33" t="s">
        <v>260</v>
      </c>
      <c r="G5" s="33" t="s">
        <v>261</v>
      </c>
      <c r="H5" s="34" t="s">
        <v>262</v>
      </c>
    </row>
    <row r="6" customFormat="false" ht="15" hidden="false" customHeight="false" outlineLevel="0" collapsed="false">
      <c r="A6" s="24" t="n">
        <v>1</v>
      </c>
      <c r="B6" s="24" t="s">
        <v>263</v>
      </c>
      <c r="C6" s="24" t="s">
        <v>264</v>
      </c>
      <c r="D6" s="24" t="s">
        <v>265</v>
      </c>
      <c r="E6" s="24" t="s">
        <v>266</v>
      </c>
      <c r="F6" s="24" t="s">
        <v>267</v>
      </c>
      <c r="G6" s="24" t="s">
        <v>268</v>
      </c>
      <c r="H6" s="24" t="s">
        <v>269</v>
      </c>
    </row>
    <row r="7" customFormat="false" ht="15" hidden="false" customHeight="false" outlineLevel="0" collapsed="false">
      <c r="A7" s="24" t="n">
        <v>2</v>
      </c>
      <c r="B7" s="24" t="s">
        <v>270</v>
      </c>
      <c r="C7" s="24" t="s">
        <v>133</v>
      </c>
      <c r="D7" s="24" t="s">
        <v>271</v>
      </c>
      <c r="E7" s="24" t="s">
        <v>272</v>
      </c>
      <c r="F7" s="24" t="s">
        <v>273</v>
      </c>
      <c r="G7" s="24" t="s">
        <v>274</v>
      </c>
      <c r="H7" s="24" t="s">
        <v>275</v>
      </c>
    </row>
    <row r="8" customFormat="false" ht="15" hidden="false" customHeight="false" outlineLevel="0" collapsed="false">
      <c r="A8" s="24" t="n">
        <v>3</v>
      </c>
      <c r="B8" s="24" t="s">
        <v>276</v>
      </c>
      <c r="C8" s="24" t="s">
        <v>277</v>
      </c>
      <c r="D8" s="24" t="s">
        <v>47</v>
      </c>
      <c r="E8" s="24" t="s">
        <v>278</v>
      </c>
      <c r="F8" s="24" t="s">
        <v>279</v>
      </c>
      <c r="G8" s="24" t="s">
        <v>280</v>
      </c>
      <c r="H8" s="24" t="s">
        <v>281</v>
      </c>
    </row>
    <row r="9" customFormat="false" ht="15" hidden="false" customHeight="false" outlineLevel="0" collapsed="false">
      <c r="A9" s="24" t="n">
        <v>4</v>
      </c>
      <c r="B9" s="24" t="s">
        <v>282</v>
      </c>
      <c r="C9" s="24" t="s">
        <v>283</v>
      </c>
      <c r="D9" s="24" t="s">
        <v>284</v>
      </c>
      <c r="E9" s="24" t="s">
        <v>285</v>
      </c>
      <c r="F9" s="24" t="s">
        <v>286</v>
      </c>
      <c r="G9" s="24" t="s">
        <v>287</v>
      </c>
      <c r="H9" s="24" t="s">
        <v>288</v>
      </c>
    </row>
    <row r="10" customFormat="false" ht="15" hidden="false" customHeight="false" outlineLevel="0" collapsed="false">
      <c r="A10" s="24" t="n">
        <v>5</v>
      </c>
      <c r="B10" s="24" t="s">
        <v>289</v>
      </c>
      <c r="C10" s="24" t="s">
        <v>290</v>
      </c>
      <c r="D10" s="24" t="s">
        <v>291</v>
      </c>
      <c r="E10" s="24" t="s">
        <v>285</v>
      </c>
      <c r="F10" s="24" t="s">
        <v>286</v>
      </c>
      <c r="G10" s="24" t="s">
        <v>292</v>
      </c>
      <c r="H10" s="24" t="s">
        <v>293</v>
      </c>
    </row>
    <row r="12" customFormat="false" ht="15" hidden="false" customHeight="false" outlineLevel="0" collapsed="false">
      <c r="A12" s="4" t="s">
        <v>294</v>
      </c>
      <c r="B12" s="4" t="s">
        <v>294</v>
      </c>
      <c r="C12" s="4" t="s">
        <v>294</v>
      </c>
      <c r="D12" s="4" t="s">
        <v>294</v>
      </c>
      <c r="E12" s="4" t="s">
        <v>294</v>
      </c>
      <c r="F12" s="4" t="s">
        <v>294</v>
      </c>
      <c r="G12" s="4" t="s">
        <v>294</v>
      </c>
      <c r="H12" s="4" t="s">
        <v>294</v>
      </c>
    </row>
    <row r="13" customFormat="false" ht="34" hidden="false" customHeight="true" outlineLevel="0" collapsed="false">
      <c r="A13" s="32" t="s">
        <v>295</v>
      </c>
      <c r="B13" s="33" t="s">
        <v>296</v>
      </c>
      <c r="C13" s="33" t="s">
        <v>297</v>
      </c>
      <c r="D13" s="33" t="s">
        <v>256</v>
      </c>
      <c r="E13" s="33"/>
      <c r="F13" s="33"/>
      <c r="G13" s="33"/>
      <c r="H13" s="34"/>
    </row>
    <row r="14" customFormat="false" ht="15" hidden="false" customHeight="false" outlineLevel="0" collapsed="false">
      <c r="A14" s="75" t="s">
        <v>298</v>
      </c>
      <c r="B14" s="76" t="s">
        <v>299</v>
      </c>
      <c r="C14" s="76" t="s">
        <v>300</v>
      </c>
      <c r="D14" s="76" t="s">
        <v>301</v>
      </c>
      <c r="E14" s="76"/>
      <c r="F14" s="76"/>
      <c r="G14" s="76"/>
      <c r="H14" s="76"/>
    </row>
    <row r="15" customFormat="false" ht="15" hidden="false" customHeight="false" outlineLevel="0" collapsed="false">
      <c r="A15" s="77" t="s">
        <v>302</v>
      </c>
      <c r="B15" s="76" t="s">
        <v>303</v>
      </c>
      <c r="C15" s="76" t="s">
        <v>98</v>
      </c>
      <c r="D15" s="76" t="s">
        <v>304</v>
      </c>
      <c r="E15" s="76"/>
      <c r="F15" s="76"/>
      <c r="G15" s="76"/>
      <c r="H15" s="76"/>
    </row>
    <row r="16" customFormat="false" ht="15" hidden="false" customHeight="false" outlineLevel="0" collapsed="false">
      <c r="A16" s="78" t="s">
        <v>305</v>
      </c>
      <c r="B16" s="76" t="s">
        <v>306</v>
      </c>
      <c r="C16" s="76" t="s">
        <v>307</v>
      </c>
      <c r="D16" s="76" t="s">
        <v>308</v>
      </c>
      <c r="E16" s="76"/>
      <c r="F16" s="76"/>
      <c r="G16" s="76"/>
      <c r="H16" s="76"/>
    </row>
    <row r="17" customFormat="false" ht="15" hidden="false" customHeight="false" outlineLevel="0" collapsed="false">
      <c r="A17" s="79" t="s">
        <v>309</v>
      </c>
      <c r="B17" s="76" t="s">
        <v>310</v>
      </c>
      <c r="C17" s="76" t="s">
        <v>311</v>
      </c>
      <c r="D17" s="76" t="s">
        <v>312</v>
      </c>
      <c r="E17" s="76"/>
      <c r="F17" s="76"/>
      <c r="G17" s="76"/>
      <c r="H17" s="76"/>
    </row>
    <row r="19" customFormat="false" ht="15" hidden="false" customHeight="false" outlineLevel="0" collapsed="false">
      <c r="A19" s="4" t="s">
        <v>313</v>
      </c>
      <c r="B19" s="4" t="s">
        <v>313</v>
      </c>
      <c r="C19" s="4" t="s">
        <v>313</v>
      </c>
      <c r="D19" s="4" t="s">
        <v>313</v>
      </c>
      <c r="E19" s="4" t="s">
        <v>313</v>
      </c>
      <c r="F19" s="4" t="s">
        <v>313</v>
      </c>
      <c r="G19" s="4" t="s">
        <v>313</v>
      </c>
      <c r="H19" s="4" t="s">
        <v>313</v>
      </c>
    </row>
    <row r="20" customFormat="false" ht="34" hidden="false" customHeight="true" outlineLevel="0" collapsed="false">
      <c r="A20" s="32" t="s">
        <v>314</v>
      </c>
      <c r="B20" s="33" t="s">
        <v>315</v>
      </c>
      <c r="C20" s="33"/>
      <c r="D20" s="33"/>
      <c r="E20" s="33"/>
      <c r="F20" s="33"/>
      <c r="G20" s="33"/>
      <c r="H20" s="34"/>
    </row>
    <row r="21" customFormat="false" ht="19.25" hidden="false" customHeight="false" outlineLevel="0" collapsed="false">
      <c r="A21" s="76" t="s">
        <v>96</v>
      </c>
      <c r="B21" s="76" t="s">
        <v>316</v>
      </c>
      <c r="C21" s="76"/>
      <c r="D21" s="76"/>
      <c r="E21" s="76"/>
      <c r="F21" s="76"/>
      <c r="G21" s="76"/>
      <c r="H21" s="76"/>
    </row>
    <row r="22" customFormat="false" ht="15" hidden="false" customHeight="false" outlineLevel="0" collapsed="false">
      <c r="A22" s="76" t="s">
        <v>9</v>
      </c>
      <c r="B22" s="76" t="s">
        <v>317</v>
      </c>
      <c r="C22" s="76"/>
      <c r="D22" s="76"/>
      <c r="E22" s="76"/>
      <c r="F22" s="76"/>
      <c r="G22" s="76"/>
      <c r="H22" s="76"/>
    </row>
    <row r="23" customFormat="false" ht="19.25" hidden="false" customHeight="false" outlineLevel="0" collapsed="false">
      <c r="A23" s="76" t="s">
        <v>318</v>
      </c>
      <c r="B23" s="76" t="s">
        <v>319</v>
      </c>
      <c r="C23" s="76"/>
      <c r="D23" s="76"/>
      <c r="E23" s="76"/>
      <c r="F23" s="76"/>
      <c r="G23" s="76"/>
      <c r="H23" s="76"/>
    </row>
    <row r="24" customFormat="false" ht="15" hidden="false" customHeight="false" outlineLevel="0" collapsed="false">
      <c r="A24" s="76" t="s">
        <v>98</v>
      </c>
      <c r="B24" s="76" t="s">
        <v>320</v>
      </c>
      <c r="C24" s="76"/>
      <c r="D24" s="76"/>
      <c r="E24" s="76"/>
      <c r="F24" s="76"/>
      <c r="G24" s="76"/>
      <c r="H24" s="76"/>
    </row>
    <row r="25" customFormat="false" ht="15" hidden="false" customHeight="false" outlineLevel="0" collapsed="false">
      <c r="A25" s="76" t="s">
        <v>109</v>
      </c>
      <c r="B25" s="76" t="s">
        <v>321</v>
      </c>
      <c r="C25" s="76"/>
      <c r="D25" s="76"/>
      <c r="E25" s="76"/>
      <c r="F25" s="76"/>
      <c r="G25" s="76"/>
      <c r="H25" s="76"/>
    </row>
    <row r="27" customFormat="false" ht="15" hidden="false" customHeight="true" outlineLevel="0" collapsed="false">
      <c r="A27" s="30" t="s">
        <v>322</v>
      </c>
      <c r="B27" s="30" t="s">
        <v>322</v>
      </c>
      <c r="C27" s="30" t="s">
        <v>322</v>
      </c>
      <c r="D27" s="30" t="s">
        <v>322</v>
      </c>
      <c r="E27" s="30" t="s">
        <v>322</v>
      </c>
      <c r="F27" s="30" t="s">
        <v>322</v>
      </c>
      <c r="G27" s="30" t="s">
        <v>322</v>
      </c>
      <c r="H27" s="30" t="s">
        <v>322</v>
      </c>
    </row>
    <row r="28" customFormat="false" ht="15" hidden="false" customHeight="false" outlineLevel="0" collapsed="false">
      <c r="A28" s="30" t="s">
        <v>322</v>
      </c>
      <c r="B28" s="30" t="s">
        <v>322</v>
      </c>
      <c r="C28" s="30" t="s">
        <v>322</v>
      </c>
      <c r="D28" s="30" t="s">
        <v>322</v>
      </c>
      <c r="E28" s="30" t="s">
        <v>322</v>
      </c>
      <c r="F28" s="30" t="s">
        <v>322</v>
      </c>
      <c r="G28" s="30" t="s">
        <v>322</v>
      </c>
      <c r="H28" s="30" t="s">
        <v>322</v>
      </c>
    </row>
    <row r="29" customFormat="false" ht="15" hidden="false" customHeight="false" outlineLevel="0" collapsed="false">
      <c r="A29" s="30" t="s">
        <v>322</v>
      </c>
      <c r="B29" s="30" t="s">
        <v>322</v>
      </c>
      <c r="C29" s="30" t="s">
        <v>322</v>
      </c>
      <c r="D29" s="30" t="s">
        <v>322</v>
      </c>
      <c r="E29" s="30" t="s">
        <v>322</v>
      </c>
      <c r="F29" s="30" t="s">
        <v>322</v>
      </c>
      <c r="G29" s="30" t="s">
        <v>322</v>
      </c>
      <c r="H29" s="30" t="s">
        <v>322</v>
      </c>
    </row>
  </sheetData>
  <mergeCells count="6">
    <mergeCell ref="A1:H1"/>
    <mergeCell ref="A2:H2"/>
    <mergeCell ref="A4:H4"/>
    <mergeCell ref="A12:H12"/>
    <mergeCell ref="A19:H19"/>
    <mergeCell ref="A27:H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16665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fr-CA</dc:language>
  <cp:lastModifiedBy/>
  <dcterms:modified xsi:type="dcterms:W3CDTF">2026-10-10T21:35:53Z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